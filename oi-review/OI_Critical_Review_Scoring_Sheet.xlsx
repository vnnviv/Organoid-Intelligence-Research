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3.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Protocol" sheetId="2" state="visible" r:id="rId4"/>
    <sheet name="Screening_Log" sheetId="3" state="visible" r:id="rId5"/>
    <sheet name="Flow" sheetId="4" state="visible" r:id="rId6"/>
    <sheet name="Claims" sheetId="5" state="visible" r:id="rId7"/>
    <sheet name="Scoring" sheetId="6" state="visible" r:id="rId8"/>
    <sheet name="Scoring_Reviews" sheetId="7" state="visible" r:id="rId9"/>
    <sheet name="Rubric_Anchors" sheetId="8" state="visible" r:id="rId10"/>
    <sheet name="Tiers" sheetId="9" state="visible" r:id="rId11"/>
    <sheet name="Analysis" sheetId="10" state="visible" r:id="rId12"/>
    <sheet name="Codes" sheetId="11" state="visible" r:id="rId13"/>
    <sheet name="Lists" sheetId="12" state="visible" r:id="rId14"/>
  </sheets>
  <definedNames>
    <definedName function="false" hidden="true" localSheetId="2" name="_xlnm._FilterDatabase" vbProcedure="false">Screening_Log!$A$5:$L$195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<sst xmlns="http://schemas.openxmlformats.org/spreadsheetml/2006/main" count="2201" uniqueCount="967">
  <si>
    <t xml:space="preserve">OI critical review: paper selection and scoring workbook</t>
  </si>
  <si>
    <t xml:space="preserve">Purpose</t>
  </si>
  <si>
    <t xml:space="preserve">Select papers by a written protocol, score each on a rigor rubric (two raters), log every claim, and analyze the results without rebuilding anything.</t>
  </si>
  <si>
    <t xml:space="preserve">Workflow</t>
  </si>
  <si>
    <t xml:space="preserve">1) Check Protocol and Screening_Log. 2) Full-text check the Include and Maybe records; add new records to the log. 3) Rater 1 and Rater 2 score on Scoring without seeing each other's columns. 4) Discuss every DISCUSS cell and overwrite it with the agreed value. 5) Log claims on Claims while reading. 6) Read the tiers on Tiers (set cut-offs first), compare papers within each tier, write the findings per tier, then check the candidate determining factor. 7) Read Analysis.</t>
  </si>
  <si>
    <t xml:space="preserve">Sheets</t>
  </si>
  <si>
    <t xml:space="preserve">Protocol: criteria and search record. Screening_Log: every record with decision and reason. Flow: PRISMA-style counts. Scoring: one row per empirical paper (9 items, including Replication), with an automatic tier. Scoring_Reviews: reviews, roadmaps and company pages on a 4-item review rubric. Tiers: cut-offs, tier comparison, findings per tier, determining factor. Claims: claims audit. Rubric_Anchors: what 0, 1, 2 mean (empirical and review rubrics). Analysis: item means, Cohen's kappa, COI and peer-review comparisons, claim tags. Codes and Lists: reference values for dropdowns.</t>
  </si>
  <si>
    <t xml:space="preserve">Color key</t>
  </si>
  <si>
    <t xml:space="preserve">Blue text on yellow fill = team input (edit these). Black text = formula or fixed content (do not overwrite, except DISCUSS cells in the Final block, which you replace with the agreed score).</t>
  </si>
  <si>
    <t xml:space="preserve">Pre-filled vs checked</t>
  </si>
  <si>
    <t xml:space="preserve">Pre-filled and unverified: screening decisions (abstracts only), claim categories, peer-review status. Taken from the team's OI Notes and not re-checked against PDFs: COI for the five seed papers and claims C01-C11.</t>
  </si>
  <si>
    <t xml:space="preserve">Capacity</t>
  </si>
  <si>
    <t xml:space="preserve">Scoring holds up to 100 empirical papers (rows 6-105), Scoring_Reviews up to 50, Claims up to 200 rows, Screening_Log up to 400 records. Extend the formula ranges if you go past that.</t>
  </si>
  <si>
    <t xml:space="preserve">Stats step</t>
  </si>
  <si>
    <t xml:space="preserve">Kappa and group comparisons are computed as soon as Rater 2 scores exist. Weighted kappa and exact tests (Mann-Whitney) need to be run outside the sheet.</t>
  </si>
  <si>
    <t xml:space="preserve">What this workbook does not do</t>
  </si>
  <si>
    <t xml:space="preserve">It does not score papers. Scores need a person reading the full text; an AI second pass can help flag misreads but should never replace a human rater.</t>
  </si>
  <si>
    <t xml:space="preserve">Example row (fictional, for format only; not in any formula range)</t>
  </si>
  <si>
    <t xml:space="preserve">Field</t>
  </si>
  <si>
    <t xml:space="preserve">Example value</t>
  </si>
  <si>
    <t xml:space="preserve">Paper ID / title</t>
  </si>
  <si>
    <t xml:space="preserve">example:Doe-2024 / Doe et al. 2024 (EXAMPLE ONLY, not a real paper)</t>
  </si>
  <si>
    <t xml:space="preserve">R1 scores SM, UA, CT, CF, EA, RB, TR, CC, RP</t>
  </si>
  <si>
    <t xml:space="preserve">2, 1, 2, 0, NA, 1, 2, 1, 0</t>
  </si>
  <si>
    <t xml:space="preserve">R2 scores</t>
  </si>
  <si>
    <t xml:space="preserve">2, 1, 1, 0, NA, 1, 2, 2, 0   (Final block would show DISCUSS for CT and CC)</t>
  </si>
  <si>
    <t xml:space="preserve">COI / affiliation</t>
  </si>
  <si>
    <t xml:space="preserve">Academic, none declared</t>
  </si>
  <si>
    <t xml:space="preserve">Claim row</t>
  </si>
  <si>
    <t xml:space="preserve">Learning/adaptation | 'Cultures improve over 5 days' | Demonstrated under constraints | Measured | Comparator: none | n = 8 cultures</t>
  </si>
  <si>
    <t xml:space="preserve">Search and selection protocol (v1, written before the searches were run)</t>
  </si>
  <si>
    <t xml:space="preserve">Review question</t>
  </si>
  <si>
    <t xml:space="preserve">How well supported are published computational, learning, and efficiency claims about brain organoids and neural cultures used as biological computing substrates (organoid intelligence, biocomputing, wetware)?</t>
  </si>
  <si>
    <t xml:space="preserve">Why include weak papers</t>
  </si>
  <si>
    <t xml:space="preserve">Selection is by 'makes a claim in scope', not by quality. Quality is scored afterwards, so low-rigor and hyped papers stay in the corpus. Screening only for rigor would hide the thing being studied.</t>
  </si>
  <si>
    <t xml:space="preserve">Inclusion (all required)</t>
  </si>
  <si>
    <t xml:space="preserve">I1: living neural tissue (organoid, 2D culture, assembloid) on an electrode or similar interface used as a computational or learning substrate, OR a review/roadmap/grey source making explicit claims about such systems.
I2: at least one explicit claim about (a) computational performance, (b) learning or adaptation, or (c) efficiency (energy, sample, or cost) relative to AI/silicon.
I3: enough text accessible to code the rubric items.
I4: English; published or posted 2020 onward.</t>
  </si>
  <si>
    <t xml:space="preserve">Exclusion codes</t>
  </si>
  <si>
    <t xml:space="preserve">See the Codes sheet (E1-E8). Duplicates and preprints of an included paper are logged as E3 and the version of record is kept.</t>
  </si>
  <si>
    <t xml:space="preserve">Context sources (not scored)</t>
  </si>
  <si>
    <t xml:space="preserve">Codes C1-C4: critiques and skeptical sources, commentary and press (for tracing how claims propagate), OI-specific ethics papers (ethics arm), and comparator literature on AI/neuromorphic energy and sample efficiency.</t>
  </si>
  <si>
    <t xml:space="preserve">Paper-index searches (from 2020-01-01 unless noted)</t>
  </si>
  <si>
    <t xml:space="preserve">Q1 organoid intelligence biocomputing brain organoids as computational substrate (top 40)
Q2 brain organoid reservoir computing learning on multielectrode array (top 40)
Q3 in vitro neuronal cultures closed-loop learning game-playing Pong sample efficiency versus reinforcement learning (top 40)
Q4 energy efficiency biological neural networks versus silicon computing organoid (top 30)
Q5 ethics of organoid intelligence sentience consciousness brain organoid computing (top 30)
Q6 FinalSpark Neuroplatform electrophysiological remote access human brain organoids (from 2022, top 15)
Q7 Smirnova Hartung organoid intelligence OI roadmap biocomputing (from 2022, top 15)
Q8 critique skeptical hype claims synthetic biological intelligence organoid intelligence limitations (from 2022, top 25)</t>
  </si>
  <si>
    <t xml:space="preserve">Web search (grey literature)</t>
  </si>
  <si>
    <t xml:space="preserve">W1 Cortical Labs CL1 biological computer FinalSpark Unconventional AI whitepaper energy claims (top 10). Company pages and the InsightAce market report are included as grey literature and scored mainly on EA, CC and TR.</t>
  </si>
  <si>
    <t xml:space="preserve">Index coverage</t>
  </si>
  <si>
    <t xml:space="preserve">The paper index covers PubMed, bioRxiv, medRxiv, arXiv and other scientific sources. Google Scholar, Web of Science and Scopus were not searched; adding at least one of them is the main way to reduce coverage bias.</t>
  </si>
  <si>
    <t xml:space="preserve">Citation chaining (not completed)</t>
  </si>
  <si>
    <t xml:space="preserve">Attempted citers of Kagan 2022 and Cai 2023 through the index's citation graph; the seed IDs did not resolve and no results came back. Do this by hand with 'Cited by' in Google Scholar or Scopus, then add new records to Screening_Log.</t>
  </si>
  <si>
    <t xml:space="preserve">Known gaps</t>
  </si>
  <si>
    <t xml:space="preserve">1) Unconventional AI materials were not found by the search; look at their site and any preprints by hand.
2) The Smirnova 2023 seed was not returned by the index and was added manually.
3) Screening used titles and abstracts only, by one screener, so every Include/Maybe needs a full-text check and a second screener on a ~20% random sample (Screening_Log columns K-L).
4) The search is not exhaustive, so describe the corpus as a systematic-style sample, not a complete census of the field.</t>
  </si>
  <si>
    <t xml:space="preserve">Rubric changes</t>
  </si>
  <si>
    <t xml:space="preserve">Do not change the rubric midstream without noting the version and date here. Re-score earlier papers if an anchor changes.</t>
  </si>
  <si>
    <t xml:space="preserve">Screening log (every record, with decision and reason)</t>
  </si>
  <si>
    <t xml:space="preserve">Screened on title/abstract only, by a single screener (Claude). Blue-on-yellow cells are for the team: second-screener decision on a random ~20% sample, and any overrides. Counts on the Flow sheet update automatically.</t>
  </si>
  <si>
    <t xml:space="preserve">Years left blank where the identifier does not show one; fill in when you open the record.</t>
  </si>
  <si>
    <t xml:space="preserve">#</t>
  </si>
  <si>
    <t xml:space="preserve">Record ID</t>
  </si>
  <si>
    <t xml:space="preserve">Title</t>
  </si>
  <si>
    <t xml:space="preserve">Year</t>
  </si>
  <si>
    <t xml:space="preserve">Record type</t>
  </si>
  <si>
    <t xml:space="preserve">Found via</t>
  </si>
  <si>
    <t xml:space="preserve">Decision</t>
  </si>
  <si>
    <t xml:space="preserve">Code</t>
  </si>
  <si>
    <t xml:space="preserve">Reason (auto from Codes)</t>
  </si>
  <si>
    <t xml:space="preserve">Notes</t>
  </si>
  <si>
    <t xml:space="preserve">2nd screener decision</t>
  </si>
  <si>
    <t xml:space="preserve">Agree?</t>
  </si>
  <si>
    <t xml:space="preserve">doi:10.1016/j.neuron.2022.09.001</t>
  </si>
  <si>
    <t xml:space="preserve">Kagan et al. In vitro neurons learn and exhibit sentience when embodied in a simulated game-world (DishBrain), Neuron</t>
  </si>
  <si>
    <t xml:space="preserve">Empirical</t>
  </si>
  <si>
    <t xml:space="preserve">Seed; Q3</t>
  </si>
  <si>
    <t xml:space="preserve">Include</t>
  </si>
  <si>
    <t xml:space="preserve">I</t>
  </si>
  <si>
    <t xml:space="preserve">Team seed. Index ID pmcid:PMC9747182</t>
  </si>
  <si>
    <t xml:space="preserve">doi:10.1038/s41928-023-01069-w</t>
  </si>
  <si>
    <t xml:space="preserve">Cai et al. Brain organoid reservoir computing for artificial intelligence (Brainoware), Nat Electron</t>
  </si>
  <si>
    <t xml:space="preserve">Seed; Q1</t>
  </si>
  <si>
    <t xml:space="preserve">Team seed. Preprint version logged separately as duplicate</t>
  </si>
  <si>
    <t xml:space="preserve">doi:10.34133/cbsystems.0336</t>
  </si>
  <si>
    <t xml:space="preserve">Khajehnejad et al. Dynamic network plasticity and sample efficiency in biological neural cultures: comparison with deep RL, Cyborg Bionic Syst</t>
  </si>
  <si>
    <t xml:space="preserve">Team seed; cite 2025 published version. Index ID pmcid:PMC12320521</t>
  </si>
  <si>
    <t xml:space="preserve">doi:10.3389/frai.2024.1376042</t>
  </si>
  <si>
    <t xml:space="preserve">Jordan et al. Open and remotely accessible Neuroplatform for research in wetware computing (FinalSpark), Front AI</t>
  </si>
  <si>
    <t xml:space="preserve">Seed; Q6</t>
  </si>
  <si>
    <t xml:space="preserve">Team seed. Index ID pmcid:PMC11097343</t>
  </si>
  <si>
    <t xml:space="preserve">doi:10.3389/fsci.2023.1017235</t>
  </si>
  <si>
    <t xml:space="preserve">Smirnova et al. Organoid intelligence (OI): the new frontier in biocomputing and intelligence-in-a-dish, Front Sci</t>
  </si>
  <si>
    <t xml:space="preserve">Review/roadmap</t>
  </si>
  <si>
    <t xml:space="preserve">Seed (manual add)</t>
  </si>
  <si>
    <t xml:space="preserve">R</t>
  </si>
  <si>
    <t xml:space="preserve">Team seed. Not returned by index search; added from team notes</t>
  </si>
  <si>
    <t xml:space="preserve">pmid:42399712</t>
  </si>
  <si>
    <t xml:space="preserve">Computing inspired by the brain: a journey from algorithms to organoids (Nat Comput Sci)</t>
  </si>
  <si>
    <t xml:space="preserve">Q1</t>
  </si>
  <si>
    <t xml:space="preserve">arxiv:2503.19770</t>
  </si>
  <si>
    <t xml:space="preserve">Brain Organoid Computing: an Overview</t>
  </si>
  <si>
    <t xml:space="preserve">pmcid:PMC10013972</t>
  </si>
  <si>
    <t xml:space="preserve">First Organoid Intelligence (OI) workshop to form an OI community</t>
  </si>
  <si>
    <t xml:space="preserve">pmcid:PMC10002682</t>
  </si>
  <si>
    <t xml:space="preserve">Brain Organoid Computing for Artificial Intelligence (bioRxiv preprint of Brainoware)</t>
  </si>
  <si>
    <t xml:space="preserve">Q1; Q2</t>
  </si>
  <si>
    <t xml:space="preserve">Exclude</t>
  </si>
  <si>
    <t xml:space="preserve">E3</t>
  </si>
  <si>
    <t xml:space="preserve">Preprint of Cai 2023; version of record is the seed record</t>
  </si>
  <si>
    <t xml:space="preserve">pmid:37009773</t>
  </si>
  <si>
    <t xml:space="preserve">Organoid intelligence (OI): the ultimate functionality of a brain microphysiological system (ALTEX)</t>
  </si>
  <si>
    <t xml:space="preserve">pmid:38252094</t>
  </si>
  <si>
    <t xml:space="preserve">The Promise and Potential of Brain Organoids</t>
  </si>
  <si>
    <t xml:space="preserve">Maybe</t>
  </si>
  <si>
    <t xml:space="preserve">M</t>
  </si>
  <si>
    <t xml:space="preserve">OI appears to be one section; check for explicit OI performance claims</t>
  </si>
  <si>
    <t xml:space="preserve">pmid:40540969</t>
  </si>
  <si>
    <t xml:space="preserve">Scalable 3D packaging technique for brain organoid arrays toward high-capacity bioprocessors</t>
  </si>
  <si>
    <t xml:space="preserve">Engineering/tools</t>
  </si>
  <si>
    <t xml:space="preserve">Abstract asserts energy-efficient signal processing; check whether measured or motivational</t>
  </si>
  <si>
    <t xml:space="preserve">doi:10.64898/2026.10.11.758231</t>
  </si>
  <si>
    <t xml:space="preserve">PULSE: foundation model for brain organoid network dynamics reporting intrinsic computation</t>
  </si>
  <si>
    <t xml:space="preserve">Preprint</t>
  </si>
  <si>
    <t xml:space="preserve">pmcid:PMC10796793</t>
  </si>
  <si>
    <t xml:space="preserve">Brain organoids and organoid intelligence from ethical, legal, and social points of view</t>
  </si>
  <si>
    <t xml:space="preserve">Ethics</t>
  </si>
  <si>
    <t xml:space="preserve">Q1; Q5</t>
  </si>
  <si>
    <t xml:space="preserve">Context</t>
  </si>
  <si>
    <t xml:space="preserve">C3</t>
  </si>
  <si>
    <t xml:space="preserve">Ethics arm, OI-specific</t>
  </si>
  <si>
    <t xml:space="preserve">pmcid:PMC13039412</t>
  </si>
  <si>
    <t xml:space="preserve">Ethical concerns about embodied brain organoids (biocomputers): public attitudes experiment</t>
  </si>
  <si>
    <t xml:space="preserve">pmcid:PMC11869974</t>
  </si>
  <si>
    <t xml:space="preserve">Emerging brain organoids: 3D models to decipher, identify and revolutionize brain</t>
  </si>
  <si>
    <t xml:space="preserve">E2</t>
  </si>
  <si>
    <t xml:space="preserve">OI mentioned in passing</t>
  </si>
  <si>
    <t xml:space="preserve">pmid:36480938</t>
  </si>
  <si>
    <t xml:space="preserve">Neuronal cultures playing Pong: first steps toward advanced screening and biological computing (Neuron preview)</t>
  </si>
  <si>
    <t xml:space="preserve">Commentary/news</t>
  </si>
  <si>
    <t xml:space="preserve">Q1; Q3</t>
  </si>
  <si>
    <t xml:space="preserve">C2</t>
  </si>
  <si>
    <t xml:space="preserve">Commentary on Kagan; use for claim-propagation tracing</t>
  </si>
  <si>
    <t xml:space="preserve">pmcid:PMC12796111</t>
  </si>
  <si>
    <t xml:space="preserve">Artificial Intelligence Virtual Organoids (AIVOs)</t>
  </si>
  <si>
    <t xml:space="preserve">AI/hardware-only</t>
  </si>
  <si>
    <t xml:space="preserve">E5</t>
  </si>
  <si>
    <t xml:space="preserve">Digital twins, no living substrate</t>
  </si>
  <si>
    <t xml:space="preserve">pmcid:PMC11870477</t>
  </si>
  <si>
    <t xml:space="preserve">Neuromodulation in neural organoids with shell MEAs (preprint)</t>
  </si>
  <si>
    <t xml:space="preserve">E1</t>
  </si>
  <si>
    <t xml:space="preserve">Interface characterization</t>
  </si>
  <si>
    <t xml:space="preserve">doi:10.64898/2026.09.09.750433</t>
  </si>
  <si>
    <t xml:space="preserve">Information processing-like phenotype of human brain organoids</t>
  </si>
  <si>
    <t xml:space="preserve">pmcid:PMC11661084</t>
  </si>
  <si>
    <t xml:space="preserve">Goal-directed learning in cortical organoids (Cell Rep)</t>
  </si>
  <si>
    <t xml:space="preserve">Q1; Q2; Q3</t>
  </si>
  <si>
    <t xml:space="preserve">bioRxiv preprint doi:10.1101/2024.12.07.627350 is the same work</t>
  </si>
  <si>
    <t xml:space="preserve">pmcid:PMC10995847</t>
  </si>
  <si>
    <t xml:space="preserve">Moral considerability of brain organoids from the perspective of computational architecture</t>
  </si>
  <si>
    <t xml:space="preserve">pmcid:PMC11429697</t>
  </si>
  <si>
    <t xml:space="preserve">Human neural organoid microphysiological systems show building blocks for basic learning and memory (bioRxiv)</t>
  </si>
  <si>
    <t xml:space="preserve">Preprint of PMC12357958</t>
  </si>
  <si>
    <t xml:space="preserve">pmcid:PMC11027187</t>
  </si>
  <si>
    <t xml:space="preserve">Organoid intelligence: integration of organoid technology and AI in the new era of in vitro models</t>
  </si>
  <si>
    <t xml:space="preserve">pmid:32833194</t>
  </si>
  <si>
    <t xml:space="preserve">Review of AI applications and algorithms for brain organoid research</t>
  </si>
  <si>
    <t xml:space="preserve">AI used to analyze organoids, not organoids as computers</t>
  </si>
  <si>
    <t xml:space="preserve">doi:10.1101/2025.03.02.641081</t>
  </si>
  <si>
    <t xml:space="preserve">Modeling Organoid Population Electrophysiology Dynamics</t>
  </si>
  <si>
    <t xml:space="preserve">Disease/toxicology modeling framing</t>
  </si>
  <si>
    <t xml:space="preserve">pmid:42675178</t>
  </si>
  <si>
    <t xml:space="preserve">Organoid intelligence: a promising paradigm for autism spectrum disorder research</t>
  </si>
  <si>
    <t xml:space="preserve">OI framed for disease research; check for explicit OI performance claims</t>
  </si>
  <si>
    <t xml:space="preserve">pmid:42285251</t>
  </si>
  <si>
    <t xml:space="preserve">Convergence and innovative applications of cutting-edge biomedical technologies in brain organoid research</t>
  </si>
  <si>
    <t xml:space="preserve">pmid:37288491</t>
  </si>
  <si>
    <t xml:space="preserve">Human brain organoids: moral concerns if they grow up in the lab and are transplanted or destroyed</t>
  </si>
  <si>
    <t xml:space="preserve">E8</t>
  </si>
  <si>
    <t xml:space="preserve">pmcid:PMC11493634</t>
  </si>
  <si>
    <t xml:space="preserve">Organoid intelligence for developmental neurotoxicity testing</t>
  </si>
  <si>
    <t xml:space="preserve">Proposal paper; check for explicit OI capability claims</t>
  </si>
  <si>
    <t xml:space="preserve">pmid:41832075</t>
  </si>
  <si>
    <t xml:space="preserve">Next-generation discovery: empowering organoid research with ML, AI and mathematical modeling</t>
  </si>
  <si>
    <t xml:space="preserve">pmid:37496118</t>
  </si>
  <si>
    <t xml:space="preserve">Brain Model Technology and Its Implications</t>
  </si>
  <si>
    <t xml:space="preserve">pmcid:PMC9338020</t>
  </si>
  <si>
    <t xml:space="preserve">Human brain organoid networks (Nat Commun)</t>
  </si>
  <si>
    <t xml:space="preserve">Network physiology; no computational claim in abstract</t>
  </si>
  <si>
    <t xml:space="preserve">doi:10.1101/2024.12.23.630065</t>
  </si>
  <si>
    <t xml:space="preserve">Engineered biological neural networks as basic logic operators (bioRxiv)</t>
  </si>
  <si>
    <t xml:space="preserve">Preprint of PMC12066566</t>
  </si>
  <si>
    <t xml:space="preserve">doi:10.64898/2026.10.02.756317</t>
  </si>
  <si>
    <t xml:space="preserve">Flexible 3D multimodal organoid interface reveals functional subnetworks in cortical organoids</t>
  </si>
  <si>
    <t xml:space="preserve">pmcid:PMC13247413</t>
  </si>
  <si>
    <t xml:space="preserve">BrAIn: AI-based morphology analysis system for brain organoids</t>
  </si>
  <si>
    <t xml:space="preserve">pmid:35776358</t>
  </si>
  <si>
    <t xml:space="preserve">In vitro brain organoids and computational models to study cell death in brain diseases</t>
  </si>
  <si>
    <t xml:space="preserve">Other</t>
  </si>
  <si>
    <t xml:space="preserve">pmcid:PMC12447339</t>
  </si>
  <si>
    <t xml:space="preserve">The emergence of electrical activity in human brain organoids</t>
  </si>
  <si>
    <t xml:space="preserve">pmcid:PMC13621883</t>
  </si>
  <si>
    <t xml:space="preserve">Transforming brain organoids into functional platforms: engineering, imaging, AI, and ethics</t>
  </si>
  <si>
    <t xml:space="preserve">pmcid:PMC13589029</t>
  </si>
  <si>
    <t xml:space="preserve">Using brain organoids to explore human neurobiology</t>
  </si>
  <si>
    <t xml:space="preserve">pmcid:PMC12357958</t>
  </si>
  <si>
    <t xml:space="preserve">Human neural organoid microphysiological systems show building blocks for basic learning and memory (Commun Biol)</t>
  </si>
  <si>
    <t xml:space="preserve">pmid:42474232</t>
  </si>
  <si>
    <t xml:space="preserve">Engineering neural organoids: technological advances and translational frontiers</t>
  </si>
  <si>
    <t xml:space="preserve">pmcid:PMC12066566</t>
  </si>
  <si>
    <t xml:space="preserve">Engineered biological neuronal networks as basic logic operators (Front Comput Neurosci)</t>
  </si>
  <si>
    <t xml:space="preserve">pmcid:PMC11750812</t>
  </si>
  <si>
    <t xml:space="preserve">Editorial: Intersection between the biological and digital: synthetic biological intelligence and organoid intelligence</t>
  </si>
  <si>
    <t xml:space="preserve">Editorial</t>
  </si>
  <si>
    <t xml:space="preserve">pmid:37607158</t>
  </si>
  <si>
    <t xml:space="preserve">How brain organoids are revolutionizing neuroscience (IEEE Pulse)</t>
  </si>
  <si>
    <t xml:space="preserve">Popular-press framing</t>
  </si>
  <si>
    <t xml:space="preserve">doi:10.64898/2026.08.10.743829</t>
  </si>
  <si>
    <t xml:space="preserve">Handwritten digit classification with neural cultures: architecture, dynamics, decoding</t>
  </si>
  <si>
    <t xml:space="preserve">Q2</t>
  </si>
  <si>
    <t xml:space="preserve">arxiv:2602.05737</t>
  </si>
  <si>
    <t xml:space="preserve">Neuro-inspired visual pattern recognition via biological reservoir computing</t>
  </si>
  <si>
    <t xml:space="preserve">arxiv:2505.03510</t>
  </si>
  <si>
    <t xml:space="preserve">From neurons to computation: biological reservoir computing for pattern recognition</t>
  </si>
  <si>
    <t xml:space="preserve">pmcid:PMC13596552</t>
  </si>
  <si>
    <t xml:space="preserve">Brain organoid computing for robotic decision-making</t>
  </si>
  <si>
    <t xml:space="preserve">Preprint (bioRxiv)</t>
  </si>
  <si>
    <t xml:space="preserve">arxiv:2510.05637</t>
  </si>
  <si>
    <t xml:space="preserve">From neural activity to computation: biological reservoirs for digit classification</t>
  </si>
  <si>
    <t xml:space="preserve">doi:10.64898/2026.09.08.750274</t>
  </si>
  <si>
    <t xml:space="preserve">Harnessing the intrinsic dynamics of biological neural networks for reservoir computing</t>
  </si>
  <si>
    <t xml:space="preserve">arxiv:2508.20850</t>
  </si>
  <si>
    <t xml:space="preserve">Encoding tactile stimuli for Braille recognition with organoids</t>
  </si>
  <si>
    <t xml:space="preserve">pmid:42700517</t>
  </si>
  <si>
    <t xml:space="preserve">Brain organoids, high-density MEAs, and deep learning: functional neurobiomarker discovery</t>
  </si>
  <si>
    <t xml:space="preserve">AI used for biomarker analysis</t>
  </si>
  <si>
    <t xml:space="preserve">pmid:42595103</t>
  </si>
  <si>
    <t xml:space="preserve">Minimal reservoir computing generates hippocampal-inspired stimulation for cortical networks in vitro</t>
  </si>
  <si>
    <t xml:space="preserve">Seizure neuromodulation; reservoir is a model, not the substrate</t>
  </si>
  <si>
    <t xml:space="preserve">doi:10.1101/2025.07.03.663054</t>
  </si>
  <si>
    <t xml:space="preserve">Long-term potentiation and closed-loop learning in paired brain organoids for CNS drug discovery</t>
  </si>
  <si>
    <t xml:space="preserve">Q2; Q3</t>
  </si>
  <si>
    <t xml:space="preserve">doi:10.1101/2025.09.12.675888</t>
  </si>
  <si>
    <t xml:space="preserve">High-density recordings from the interior of intact brain organoids enable automated functional assay</t>
  </si>
  <si>
    <t xml:space="preserve">arxiv:2607.28068</t>
  </si>
  <si>
    <t xml:space="preserve">Stimulus-evoked network dynamics in human cortical organoids: graph-computational framework</t>
  </si>
  <si>
    <t xml:space="preserve">Preprint; reports a negative result on structured information processing</t>
  </si>
  <si>
    <t xml:space="preserve">doi:10.1101/2025.03.15.641656</t>
  </si>
  <si>
    <t xml:space="preserve">MAIS: in-vitro sandbox for adaptive neuromodulation via scalable neural interfaces</t>
  </si>
  <si>
    <t xml:space="preserve">arxiv:2309.06297</t>
  </si>
  <si>
    <t xml:space="preserve">Reservoir computing model for multi-electrode electrophysiological data analysis</t>
  </si>
  <si>
    <t xml:space="preserve">Computational model of cultures</t>
  </si>
  <si>
    <t xml:space="preserve">pmid:41502138</t>
  </si>
  <si>
    <t xml:space="preserve">3D neuromodulation in neural organoids with shell MEAs (published version)</t>
  </si>
  <si>
    <t xml:space="preserve">pmcid:PMC13194713</t>
  </si>
  <si>
    <t xml:space="preserve">Multilayered microelectrode array for monitoring 3D neural networks in cerebral organoid</t>
  </si>
  <si>
    <t xml:space="preserve">pmcid:PMC10288593</t>
  </si>
  <si>
    <t xml:space="preserve">Biological neurons act as generalization filters in reservoir computing (PNAS)</t>
  </si>
  <si>
    <t xml:space="preserve">pmcid:PMC9474390</t>
  </si>
  <si>
    <t xml:space="preserve">Functional imaging of brain organoids using high-density microelectrode arrays</t>
  </si>
  <si>
    <t xml:space="preserve">pmcid:PMC9385157</t>
  </si>
  <si>
    <t xml:space="preserve">Shell microelectrode arrays (MEAs) for brain organoids (Sci Adv)</t>
  </si>
  <si>
    <t xml:space="preserve">arxiv:2210.02913</t>
  </si>
  <si>
    <t xml:space="preserve">Biological neurons act as generalization filters in reservoir computing (arXiv)</t>
  </si>
  <si>
    <t xml:space="preserve">Preprint of PMC10288593</t>
  </si>
  <si>
    <t xml:space="preserve">pmcid:PMC11868496</t>
  </si>
  <si>
    <t xml:space="preserve">Magnetically reshapable 3D multi-electrode arrays of liquid metals for brain organoids</t>
  </si>
  <si>
    <t xml:space="preserve">pmcid:PMC13394382</t>
  </si>
  <si>
    <t xml:space="preserve">Neuromorphic tissues: soft biomolecular networks for brain-inspired temporal computing</t>
  </si>
  <si>
    <t xml:space="preserve">No living neurons</t>
  </si>
  <si>
    <t xml:space="preserve">pmcid:PMC12321758</t>
  </si>
  <si>
    <t xml:space="preserve">360-degree size-adjustable MEA system for cerebral organoid monitoring</t>
  </si>
  <si>
    <t xml:space="preserve">pmid:37469180</t>
  </si>
  <si>
    <t xml:space="preserve">Aerosol jet-printed micro-needle electrode arrays for cerebral organoids and neurospheroids</t>
  </si>
  <si>
    <t xml:space="preserve">pmcid:PMC12781996</t>
  </si>
  <si>
    <t xml:space="preserve">Feedback-driven brain organoid platform for automated maintenance and activity monitoring</t>
  </si>
  <si>
    <t xml:space="preserve">pmcid:PMC12392918</t>
  </si>
  <si>
    <t xml:space="preserve">Neural activity mapping in brain organoids via field potential imaging with UHD CMOS microelectrodes</t>
  </si>
  <si>
    <t xml:space="preserve">pmcid:PMC11094048</t>
  </si>
  <si>
    <t xml:space="preserve">Three-dimensional liquid metal-based neuro-interfaces for human hippocampal organoids</t>
  </si>
  <si>
    <t xml:space="preserve">doi:10.1101/2022.11.09.515884</t>
  </si>
  <si>
    <t xml:space="preserve">Large-area electrical imaging at single-neuron resolution using 236,880-electrode CMOS-MEA</t>
  </si>
  <si>
    <t xml:space="preserve">doi:10.1101/2024.09.25.614992</t>
  </si>
  <si>
    <t xml:space="preserve">Temporal information encoding in isolated cortical networks</t>
  </si>
  <si>
    <t xml:space="preserve">pmcid:PMC11730284</t>
  </si>
  <si>
    <t xml:space="preserve">Multi-electrode array platform for modeling epilepsy with brain assembloids</t>
  </si>
  <si>
    <t xml:space="preserve">arxiv:2405.16946</t>
  </si>
  <si>
    <t xml:space="preserve">Biological neurons compete with deep reinforcement learning in sample efficiency in a simulated gameworld (arXiv v1)</t>
  </si>
  <si>
    <t xml:space="preserve">Q3</t>
  </si>
  <si>
    <t xml:space="preserve">Earlier version of Khajehnejad 2025 seed</t>
  </si>
  <si>
    <t xml:space="preserve">pmcid:PMC10469171</t>
  </si>
  <si>
    <t xml:space="preserve">Critical dynamics arise during structured information presentation within embodied in vitro neuronal networks</t>
  </si>
  <si>
    <t xml:space="preserve">doi:10.1101/2022.11.03.514955</t>
  </si>
  <si>
    <t xml:space="preserve">Critical dynamics arise during structured information presentation (bioRxiv preprint)</t>
  </si>
  <si>
    <t xml:space="preserve">Preprint of PMC10469171</t>
  </si>
  <si>
    <t xml:space="preserve">pmid:36224373</t>
  </si>
  <si>
    <t xml:space="preserve">Neurons in a dish learn to play Pong: what's next? (Nature news)</t>
  </si>
  <si>
    <t xml:space="preserve">News; use for claim-propagation tracing</t>
  </si>
  <si>
    <t xml:space="preserve">doi:10.64898/2026.04.14.718383</t>
  </si>
  <si>
    <t xml:space="preserve">Reinforcement learning framework for goal-directed stimulation of engineered neuronal networks</t>
  </si>
  <si>
    <t xml:space="preserve">doi:10.64898/2026.07.13.738298</t>
  </si>
  <si>
    <t xml:space="preserve">Closed-loop control of in vitro neuronal activity using RL after in silico pre-training</t>
  </si>
  <si>
    <t xml:space="preserve">arxiv:2405.15616</t>
  </si>
  <si>
    <t xml:space="preserve">Neuromorphic dreaming: a pathway to efficient learning in artificial agents</t>
  </si>
  <si>
    <t xml:space="preserve">arxiv:2508.06980</t>
  </si>
  <si>
    <t xml:space="preserve">Memory-based active inference model of DishBrain-like adaptive behaviour</t>
  </si>
  <si>
    <t xml:space="preserve">In silico model; no living substrate</t>
  </si>
  <si>
    <t xml:space="preserve">pmcid:PMC13111196</t>
  </si>
  <si>
    <t xml:space="preserve">Trainable movement control using spikes and muscle-twitch dynamics</t>
  </si>
  <si>
    <t xml:space="preserve">doi:10.64898/2026.10.15.759184</t>
  </si>
  <si>
    <t xml:space="preserve">HAL: goal-directed closed-loop training of network bursts in cortical cultures</t>
  </si>
  <si>
    <t xml:space="preserve">pmcid:PMC9094569</t>
  </si>
  <si>
    <t xml:space="preserve">Spiking neuronal network model of visual-motor cortex playing a virtual racket-ball game</t>
  </si>
  <si>
    <t xml:space="preserve">pmcid:PMC12080787</t>
  </si>
  <si>
    <t xml:space="preserve">Combining meta reinforcement learning with neural plasticity mechanisms</t>
  </si>
  <si>
    <t xml:space="preserve">pmcid:PMC12994192</t>
  </si>
  <si>
    <t xml:space="preserve">Online supervised learning of temporal patterns in biological neural networks under feedback control (PNAS)</t>
  </si>
  <si>
    <t xml:space="preserve">arxiv:2306.10404</t>
  </si>
  <si>
    <t xml:space="preserve">The RL Perceptron: generalisation dynamics of policy learning in high dimensions</t>
  </si>
  <si>
    <t xml:space="preserve">arxiv:2108.01895</t>
  </si>
  <si>
    <t xml:space="preserve">High performance across two Atari paddle games using a perceptual control architecture without training</t>
  </si>
  <si>
    <t xml:space="preserve">arxiv:2605.13315</t>
  </si>
  <si>
    <t xml:space="preserve">Embodied Neurocomputation: interfacing biological neural cultures with scaled task-driven validation</t>
  </si>
  <si>
    <t xml:space="preserve">Preprint; compares to DQN agents</t>
  </si>
  <si>
    <t xml:space="preserve">arxiv:2004.09043</t>
  </si>
  <si>
    <t xml:space="preserve">Learning as Reinforcement: principles of neuroscience for more general RL agents</t>
  </si>
  <si>
    <t xml:space="preserve">arxiv:2406.14324</t>
  </si>
  <si>
    <t xml:space="preserve">Revealing the learning process in RL agents through attention-oriented metrics</t>
  </si>
  <si>
    <t xml:space="preserve">arxiv:2005.04106</t>
  </si>
  <si>
    <t xml:space="preserve">Brain experiments imply adaptation mechanisms which outperform common AI learning algorithms (arXiv)</t>
  </si>
  <si>
    <t xml:space="preserve">Preprint of PMC7181840</t>
  </si>
  <si>
    <t xml:space="preserve">pmcid:PMC7181840</t>
  </si>
  <si>
    <t xml:space="preserve">Brain experiments imply adaptation mechanisms which outperform common AI learning algorithms (Sci Rep)</t>
  </si>
  <si>
    <t xml:space="preserve">arxiv:2211.06236</t>
  </si>
  <si>
    <t xml:space="preserve">Efficient deep RL with predictive processing proximal policy optimization</t>
  </si>
  <si>
    <t xml:space="preserve">pmcid:PMC9166289</t>
  </si>
  <si>
    <t xml:space="preserve">Representation learning in artificial and biological networks underlying sensorimotor integration</t>
  </si>
  <si>
    <t xml:space="preserve">In vivo animal recordings, not a computational substrate</t>
  </si>
  <si>
    <t xml:space="preserve">pmid:41336632</t>
  </si>
  <si>
    <t xml:space="preserve">Learning temporal basis vectors for closed-loop neural stimulation</t>
  </si>
  <si>
    <t xml:space="preserve">pmid:38648134</t>
  </si>
  <si>
    <t xml:space="preserve">Boosting reinforcement learning via hierarchical game playing with state relay</t>
  </si>
  <si>
    <t xml:space="preserve">arxiv:2501.18772</t>
  </si>
  <si>
    <t xml:space="preserve">Dissociated neuronal cultures as model systems for self-organized prediction</t>
  </si>
  <si>
    <t xml:space="preserve">Review; arXiv</t>
  </si>
  <si>
    <t xml:space="preserve">arxiv:2112.01451</t>
  </si>
  <si>
    <t xml:space="preserve">Architecting and visualizing deep RL models</t>
  </si>
  <si>
    <t xml:space="preserve">pmcid:PMC11933080</t>
  </si>
  <si>
    <t xml:space="preserve">Foveal vision reduces neural resources in agent-based game learning</t>
  </si>
  <si>
    <t xml:space="preserve">arxiv:2011.03275</t>
  </si>
  <si>
    <t xml:space="preserve">Sample-efficient reinforcement learning in robotic table tennis</t>
  </si>
  <si>
    <t xml:space="preserve">arxiv:2209.10055</t>
  </si>
  <si>
    <t xml:space="preserve">Lamarckian platform: evolutionary RL toward asynchronous commercial games</t>
  </si>
  <si>
    <t xml:space="preserve">arxiv:2102.04881</t>
  </si>
  <si>
    <t xml:space="preserve">Measuring progress in deep reinforcement learning sample efficiency</t>
  </si>
  <si>
    <t xml:space="preserve">C4</t>
  </si>
  <si>
    <t xml:space="preserve">Comparator literature: DRL sample efficiency changes over time, relevant to a fair baseline</t>
  </si>
  <si>
    <t xml:space="preserve">arxiv:2601.02850</t>
  </si>
  <si>
    <t xml:space="preserve">Sample-efficient neurosymbolic deep reinforcement learning</t>
  </si>
  <si>
    <t xml:space="preserve">arxiv:2008.13221</t>
  </si>
  <si>
    <t xml:space="preserve">Human-in-the-loop methods for data-driven and reinforcement learning systems</t>
  </si>
  <si>
    <t xml:space="preserve">arxiv:2509.15042</t>
  </si>
  <si>
    <t xml:space="preserve">Reinforcement learning agent for a 2D shooter game</t>
  </si>
  <si>
    <t xml:space="preserve">arxiv:2306.10711</t>
  </si>
  <si>
    <t xml:space="preserve">PLASTIC: improving input and label plasticity for sample efficient RL</t>
  </si>
  <si>
    <t xml:space="preserve">arxiv:2609.01061</t>
  </si>
  <si>
    <t xml:space="preserve">Accelerating RL via MPC solver-gradient guidance for weights-varying MPC</t>
  </si>
  <si>
    <t xml:space="preserve">pmid:42595294</t>
  </si>
  <si>
    <t xml:space="preserve">Thermodynamic constraints as organizing principles of neural efficiency and cognitive architecture</t>
  </si>
  <si>
    <t xml:space="preserve">Q4</t>
  </si>
  <si>
    <t xml:space="preserve">Comparator literature: standardized energy-per-bit comparisons for neuromorphic hardware</t>
  </si>
  <si>
    <t xml:space="preserve">pmcid:PMC13343411</t>
  </si>
  <si>
    <t xml:space="preserve">Bioinspired iontronic architectures for neuromorphic intelligence</t>
  </si>
  <si>
    <t xml:space="preserve">pmcid:PMC6939236</t>
  </si>
  <si>
    <t xml:space="preserve">Real-time cortical simulation on neuromorphic hardware</t>
  </si>
  <si>
    <t xml:space="preserve">E6</t>
  </si>
  <si>
    <t xml:space="preserve">Also hardware-only (E5)</t>
  </si>
  <si>
    <t xml:space="preserve">pmcid:PMC11756045</t>
  </si>
  <si>
    <t xml:space="preserve">Taming prolonged ionic drift-diffusion dynamics for brain-inspired computation</t>
  </si>
  <si>
    <t xml:space="preserve">pmid:37028291</t>
  </si>
  <si>
    <t xml:space="preserve">Memristive circuit implementation of C. elegans mechanism for neuromorphic computing</t>
  </si>
  <si>
    <t xml:space="preserve">pmcid:PMC11322324</t>
  </si>
  <si>
    <t xml:space="preserve">Single neuromorphic memristor emulates multiple synaptic mechanisms for energy efficient neural networks</t>
  </si>
  <si>
    <t xml:space="preserve">pmcid:PMC10493285</t>
  </si>
  <si>
    <t xml:space="preserve">22-pJ/spike 73-Mspikes/s 130k-compartment neural array transceiver</t>
  </si>
  <si>
    <t xml:space="preserve">pmid:39142177</t>
  </si>
  <si>
    <t xml:space="preserve">Real-time hardware emulation of neural cultures: in vitro, in silico and in duris silico models</t>
  </si>
  <si>
    <t xml:space="preserve">Hardware emulation, no living substrate</t>
  </si>
  <si>
    <t xml:space="preserve">arxiv:2203.04389</t>
  </si>
  <si>
    <t xml:space="preserve">Metaplastic energy-efficient biocompatible graphene artificial synaptic transistors (arXiv)</t>
  </si>
  <si>
    <t xml:space="preserve">pmid:36378680</t>
  </si>
  <si>
    <t xml:space="preserve">An all-in-one bioinspired neural network</t>
  </si>
  <si>
    <t xml:space="preserve">arxiv:2408.07628</t>
  </si>
  <si>
    <t xml:space="preserve">Embodied biocomputing sequential circuits with data processing and storage for neurons-on-a-chip</t>
  </si>
  <si>
    <t xml:space="preserve">Mathematical modeling and simulation</t>
  </si>
  <si>
    <t xml:space="preserve">pmcid:PMC9201569</t>
  </si>
  <si>
    <t xml:space="preserve">Benchmarking neuromorphic hardware and its energy expenditure</t>
  </si>
  <si>
    <t xml:space="preserve">Comparator literature for energy accounting</t>
  </si>
  <si>
    <t xml:space="preserve">arxiv:2509.06696</t>
  </si>
  <si>
    <t xml:space="preserve">Nanoscale photonic neuron with biological signal processing</t>
  </si>
  <si>
    <t xml:space="preserve">pmcid:PMC10567726</t>
  </si>
  <si>
    <t xml:space="preserve">Low-power vertical dual-gate neurotransistor with short-term memory</t>
  </si>
  <si>
    <t xml:space="preserve">doi:10.1101/2025.07.25.666748</t>
  </si>
  <si>
    <t xml:space="preserve">Neuromodulation enhances the capability and efficiency of spiking neural networks</t>
  </si>
  <si>
    <t xml:space="preserve">pmcid:PMC11685757</t>
  </si>
  <si>
    <t xml:space="preserve">Brain-like hardware, do we need it?</t>
  </si>
  <si>
    <t xml:space="preserve">pmid:41983381</t>
  </si>
  <si>
    <t xml:space="preserve">In vitro biological neuronal networks achieve low power consumption and high-speed communication through predictable stimulation</t>
  </si>
  <si>
    <t xml:space="preserve">Energy claim at network level; check how energy was measured</t>
  </si>
  <si>
    <t xml:space="preserve">pmid:42476122</t>
  </si>
  <si>
    <t xml:space="preserve">Looking to the brain to improve energy efficiency of AI (Curr Biol)</t>
  </si>
  <si>
    <t xml:space="preserve">Brain principles for AI, not living substrates</t>
  </si>
  <si>
    <t xml:space="preserve">pmid:32186388</t>
  </si>
  <si>
    <t xml:space="preserve">Three-dimensional nanoscale flexible memristor networks with ultralow power</t>
  </si>
  <si>
    <t xml:space="preserve">pmcid:PMC10892219</t>
  </si>
  <si>
    <t xml:space="preserve">Benchmarking ANN architectures for high-performance spiking neural networks</t>
  </si>
  <si>
    <t xml:space="preserve">pmcid:PMC7099079</t>
  </si>
  <si>
    <t xml:space="preserve">Spiking neurons from tunable Gaussian heterojunction transistors</t>
  </si>
  <si>
    <t xml:space="preserve">doi:10.1101/2021.02.15.431272</t>
  </si>
  <si>
    <t xml:space="preserve">Cerebral cortical communication overshadows computational energy-use</t>
  </si>
  <si>
    <t xml:space="preserve">Brain energy theory, not a substrate</t>
  </si>
  <si>
    <t xml:space="preserve">arxiv:2402.16628</t>
  </si>
  <si>
    <t xml:space="preserve">Single neuromorphic memristor emulates multiple synaptic mechanisms (arXiv)</t>
  </si>
  <si>
    <t xml:space="preserve">pmid:42041047</t>
  </si>
  <si>
    <t xml:space="preserve">Neural organoids: how should we handle the possibility of sentience?</t>
  </si>
  <si>
    <t xml:space="preserve">Q5</t>
  </si>
  <si>
    <t xml:space="preserve">Not OI-specific</t>
  </si>
  <si>
    <t xml:space="preserve">pmid:36794285</t>
  </si>
  <si>
    <t xml:space="preserve">Consciousness in a Rotor? Science and ethics of potentially conscious human cerebral organoids</t>
  </si>
  <si>
    <t xml:space="preserve">pmid:38669606</t>
  </si>
  <si>
    <t xml:space="preserve">Weighing the moral status of brain organoids and research animals</t>
  </si>
  <si>
    <t xml:space="preserve">pmid:36951014</t>
  </si>
  <si>
    <t xml:space="preserve">Consciousness and the ethics of human brain organoid research</t>
  </si>
  <si>
    <t xml:space="preserve">pmcid:PMC12485551</t>
  </si>
  <si>
    <t xml:space="preserve">Facing the possibility of consciousness in human brain organoids</t>
  </si>
  <si>
    <t xml:space="preserve">Q5; Q8</t>
  </si>
  <si>
    <t xml:space="preserve">Not OI-specific; could inform ethics section background</t>
  </si>
  <si>
    <t xml:space="preserve">pmid:40632929</t>
  </si>
  <si>
    <t xml:space="preserve">Consciousness and human brain organoids: conceptual mapping of ethical and philosophical literature</t>
  </si>
  <si>
    <t xml:space="preserve">pmcid:PMC10844458</t>
  </si>
  <si>
    <t xml:space="preserve">Donation of human biological material for brain organoid research: consciousness and consent</t>
  </si>
  <si>
    <t xml:space="preserve">pmid:35339359</t>
  </si>
  <si>
    <t xml:space="preserve">Brain organoids, consciousness, ethics and moral status</t>
  </si>
  <si>
    <t xml:space="preserve">pmcid:PMC7723930</t>
  </si>
  <si>
    <t xml:space="preserve">Human cerebral organoids and consciousness: a double-edged sword</t>
  </si>
  <si>
    <t xml:space="preserve">pmcid:PMC11882327</t>
  </si>
  <si>
    <t xml:space="preserve">Cerebral organoid research ethics and pinning the tail on the donkey</t>
  </si>
  <si>
    <t xml:space="preserve">pmid:41447684</t>
  </si>
  <si>
    <t xml:space="preserve">Nishida Kitaro's relational ontology and the future of brain organoid research</t>
  </si>
  <si>
    <t xml:space="preserve">Abstract names biocomputational systems; confirm relevance</t>
  </si>
  <si>
    <t xml:space="preserve">pmcid:PMC13350604</t>
  </si>
  <si>
    <t xml:space="preserve">Ethics and regulation of human brain organoid research: Asia Pacific Neuroethics Working Group</t>
  </si>
  <si>
    <t xml:space="preserve">pmcid:PMC13344105</t>
  </si>
  <si>
    <t xml:space="preserve">Views on distribution of consciousness influence ethical judgements toward brain organoids as biological computers</t>
  </si>
  <si>
    <t xml:space="preserve">pmcid:PMC10679683</t>
  </si>
  <si>
    <t xml:space="preserve">ELSA of human cerebral organoids and their governance in Germany, UK and US</t>
  </si>
  <si>
    <t xml:space="preserve">pmcid:PMC12996199</t>
  </si>
  <si>
    <t xml:space="preserve">Integrating neural organoids and AI: increasing risk of artificial consciousness or medical malpractice?</t>
  </si>
  <si>
    <t xml:space="preserve">pmid:36799028</t>
  </si>
  <si>
    <t xml:space="preserve">On the legal status of human cerebral organoids: lessons from animal law</t>
  </si>
  <si>
    <t xml:space="preserve">pmid:39729735</t>
  </si>
  <si>
    <t xml:space="preserve">Beyond consciousness: ethical, legal, and social issues in human brain organoid research and application</t>
  </si>
  <si>
    <t xml:space="preserve">Covers biocomputing applications</t>
  </si>
  <si>
    <t xml:space="preserve">pmcid:PMC10068143</t>
  </si>
  <si>
    <t xml:space="preserve">Human cerebral organoids: the ethical stance of scientists</t>
  </si>
  <si>
    <t xml:space="preserve">pmcid:PMC11700601</t>
  </si>
  <si>
    <t xml:space="preserve">Future challenges for UK regulation of brain organoid research</t>
  </si>
  <si>
    <t xml:space="preserve">pmcid:PMC10550858</t>
  </si>
  <si>
    <t xml:space="preserve">The ethics of human brain organoid transplantation in animals</t>
  </si>
  <si>
    <t xml:space="preserve">pmid:42584462</t>
  </si>
  <si>
    <t xml:space="preserve">The precautionary principle and the ethical governance of human brain organoid research</t>
  </si>
  <si>
    <t xml:space="preserve">pmcid:PMC7140135</t>
  </si>
  <si>
    <t xml:space="preserve">Ethical issues related to brain organoid research</t>
  </si>
  <si>
    <t xml:space="preserve">pmid:36322903</t>
  </si>
  <si>
    <t xml:space="preserve">Moving beyond the moral status of organoid-entities</t>
  </si>
  <si>
    <t xml:space="preserve">pmcid:PMC13479282</t>
  </si>
  <si>
    <t xml:space="preserve">When to create embryos or organoids for research</t>
  </si>
  <si>
    <t xml:space="preserve">pmid:42772966</t>
  </si>
  <si>
    <t xml:space="preserve">Asking pragmatic and RAD questions about organoid intelligence</t>
  </si>
  <si>
    <t xml:space="preserve">pmid:33068633</t>
  </si>
  <si>
    <t xml:space="preserve">Potential ethical problems with human cerebral organoids: consciousness and moral status of future brains in a dish</t>
  </si>
  <si>
    <t xml:space="preserve">pmid:41334999</t>
  </si>
  <si>
    <t xml:space="preserve">Controlled-environment platform for electrophysiology on organoids with Neuropixels 2.0</t>
  </si>
  <si>
    <t xml:space="preserve">Q6</t>
  </si>
  <si>
    <t xml:space="preserve">pmcid:PMC12394082</t>
  </si>
  <si>
    <t xml:space="preserve">Beyond structure: next-generation electrophysiological platforms for functional brain organoids</t>
  </si>
  <si>
    <t xml:space="preserve">pmcid:PMC10483933</t>
  </si>
  <si>
    <t xml:space="preserve">Electrophysiological and morphological characterization of single neurons in intact human brain organoids</t>
  </si>
  <si>
    <t xml:space="preserve">pmcid:PMC13444802</t>
  </si>
  <si>
    <t xml:space="preserve">NeuroSuite for long-term studies of air-liquid interface cerebral organoids</t>
  </si>
  <si>
    <t xml:space="preserve">doi:10.1101/2025.07.16.663353</t>
  </si>
  <si>
    <t xml:space="preserve">NeuroSuite for long-term studies of air-liquid interface cerebral organoids (bioRxiv)</t>
  </si>
  <si>
    <t xml:space="preserve">Preprint of PMC13444802</t>
  </si>
  <si>
    <t xml:space="preserve">pmcid:PMC13335954</t>
  </si>
  <si>
    <t xml:space="preserve">Stretchable microelectrode arrays with microneedles for human heart and brain organoids</t>
  </si>
  <si>
    <t xml:space="preserve">pmcid:PMC13169977</t>
  </si>
  <si>
    <t xml:space="preserve">Shape-conformal porous frameworks for full coverage of neural organoids</t>
  </si>
  <si>
    <t xml:space="preserve">pmid:41105029</t>
  </si>
  <si>
    <t xml:space="preserve">Elastic TPU/graphene microneedle-mesh interfaces for neural organoid electrophysiology</t>
  </si>
  <si>
    <t xml:space="preserve">pmcid:PMC11940203</t>
  </si>
  <si>
    <t xml:space="preserve">Non-invasive long-term electrophysiological monitoring sensors for cerebral organoid differentiation</t>
  </si>
  <si>
    <t xml:space="preserve">arxiv:2407.18413</t>
  </si>
  <si>
    <t xml:space="preserve">Simulation of neural responses to classical music using organoid intelligence methods (PyOrganoid)</t>
  </si>
  <si>
    <t xml:space="preserve">Q7</t>
  </si>
  <si>
    <t xml:space="preserve">Simulation library, no living substrate</t>
  </si>
  <si>
    <t xml:space="preserve">pmcid:PMC11368692</t>
  </si>
  <si>
    <t xml:space="preserve">Why brain organoids are not conscious yet</t>
  </si>
  <si>
    <t xml:space="preserve">Q8</t>
  </si>
  <si>
    <t xml:space="preserve">C1</t>
  </si>
  <si>
    <t xml:space="preserve">Skeptical source on consciousness claims; ethics-calibration item</t>
  </si>
  <si>
    <t xml:space="preserve">pmcid:PMC12632695</t>
  </si>
  <si>
    <t xml:space="preserve">A computational perspective on NeuroAI and synthetic biological intelligence</t>
  </si>
  <si>
    <t xml:space="preserve">arXiv version logged as duplicate</t>
  </si>
  <si>
    <t xml:space="preserve">arxiv:2509.23896</t>
  </si>
  <si>
    <t xml:space="preserve">A computational perspective on NeuroAI and synthetic biological intelligence (arXiv)</t>
  </si>
  <si>
    <t xml:space="preserve">Preprint of PMC12632695</t>
  </si>
  <si>
    <t xml:space="preserve">arxiv:2412.14112</t>
  </si>
  <si>
    <t xml:space="preserve">Starting a synthetic biological intelligence lab from scratch (arXiv)</t>
  </si>
  <si>
    <t xml:space="preserve">Preprint of PMC12142634</t>
  </si>
  <si>
    <t xml:space="preserve">pmcid:PMC12142634</t>
  </si>
  <si>
    <t xml:space="preserve">Starting a synthetic biological intelligence lab from scratch (Patterns)</t>
  </si>
  <si>
    <t xml:space="preserve">How-to paper; intro makes energy and data-efficiency claims; check whether they are cited as evidence</t>
  </si>
  <si>
    <t xml:space="preserve">pmcid:PMC10529514</t>
  </si>
  <si>
    <t xml:space="preserve">What is it like to be a brain organoid? Phenomenal consciousness in a biological neural network</t>
  </si>
  <si>
    <t xml:space="preserve">arxiv:2604.27933</t>
  </si>
  <si>
    <t xml:space="preserve">Synthetic biological intelligence: system-level abstractions and adaptive bio-digital interaction</t>
  </si>
  <si>
    <t xml:space="preserve">Survey; arXiv</t>
  </si>
  <si>
    <t xml:space="preserve">pmid:42578753</t>
  </si>
  <si>
    <t xml:space="preserve">Drug discovery's blind spot: why organoid-AI convergence demands integrated governance</t>
  </si>
  <si>
    <t xml:space="preserve">Governance; organoid-AI</t>
  </si>
  <si>
    <t xml:space="preserve">pmcid:PMC7615149</t>
  </si>
  <si>
    <t xml:space="preserve">The technology, opportunities, and challenges of synthetic biological intelligence (Biotechnol Adv)</t>
  </si>
  <si>
    <t xml:space="preserve">pmid:36863319</t>
  </si>
  <si>
    <t xml:space="preserve">A response to claims of emergent intelligence and sentience in a dish (Neuron)</t>
  </si>
  <si>
    <t xml:space="preserve">Independent critique of Kagan 2022; fills the team's skeptical-source gap. Read in full</t>
  </si>
  <si>
    <t xml:space="preserve">https://corticallabs.com/cl1.html</t>
  </si>
  <si>
    <t xml:space="preserve">Cortical Labs: CL1 biological computer product page</t>
  </si>
  <si>
    <t xml:space="preserve">Grey literature</t>
  </si>
  <si>
    <t xml:space="preserve">W1</t>
  </si>
  <si>
    <t xml:space="preserve">G</t>
  </si>
  <si>
    <t xml:space="preserve">Company claims on low power use; capture date and wording when coding</t>
  </si>
  <si>
    <t xml:space="preserve">https://finalspark.com/</t>
  </si>
  <si>
    <t xml:space="preserve">FinalSpark homepage (bioprocessor, energy claims)</t>
  </si>
  <si>
    <t xml:space="preserve">Company claims on energy; capture date and wording when coding</t>
  </si>
  <si>
    <t xml:space="preserve">https://corticallabs.com/</t>
  </si>
  <si>
    <t xml:space="preserve">Cortical Labs homepage</t>
  </si>
  <si>
    <t xml:space="preserve">Same source as CL1 page</t>
  </si>
  <si>
    <t xml:space="preserve">https://spectrum.ieee.org/biological-computer-for-sale</t>
  </si>
  <si>
    <t xml:space="preserve">Biological computer: human brain cells on a chip (IEEE Spectrum)</t>
  </si>
  <si>
    <t xml:space="preserve">Press coverage; not opened</t>
  </si>
  <si>
    <t xml:space="preserve">https://www.youtube.com/watch?v=3KeC8gxopio</t>
  </si>
  <si>
    <t xml:space="preserve">Reuters video: computer runs on living human brain cells</t>
  </si>
  <si>
    <t xml:space="preserve">https://en.wikipedia.org/wiki/Cortical_Labs</t>
  </si>
  <si>
    <t xml:space="preserve">Cortical Labs (Wikipedia)</t>
  </si>
  <si>
    <t xml:space="preserve">E4</t>
  </si>
  <si>
    <t xml:space="preserve">Tertiary source; leads only</t>
  </si>
  <si>
    <t xml:space="preserve">https://www.brownstoneresearch.com/bleeding-edge/brain-inspired-computing/</t>
  </si>
  <si>
    <t xml:space="preserve">Brain-inspired computing (Brownstone Research newsletter)</t>
  </si>
  <si>
    <t xml:space="preserve">Investment newsletter</t>
  </si>
  <si>
    <t xml:space="preserve">https://www.reddit.com/r/Futurology/comments/1jsansv/</t>
  </si>
  <si>
    <t xml:space="preserve">Reddit r/Futurology thread on CL1</t>
  </si>
  <si>
    <t xml:space="preserve">Social media</t>
  </si>
  <si>
    <t xml:space="preserve">https://www.facebook.com/groups/sciencesquadgroup/posts/1682712795684257/</t>
  </si>
  <si>
    <t xml:space="preserve">Facebook group post on CL1</t>
  </si>
  <si>
    <t xml:space="preserve">https://www.linkedin.com/posts/jeffcooper_actual-intelligence-franken-pc-debuts</t>
  </si>
  <si>
    <t xml:space="preserve">LinkedIn post on CL1</t>
  </si>
  <si>
    <t xml:space="preserve">manual:insightace-organoid-biocomputer-market</t>
  </si>
  <si>
    <t xml:space="preserve">InsightAce Analytic: Biocomputer Based on Organoids Market Size and Scope Analysis (market report)</t>
  </si>
  <si>
    <t xml:space="preserve">Team references (manual add)</t>
  </si>
  <si>
    <t xml:space="preserve">Listed in team research overview; URL not captured. Market-report claims, check wording on efficiency and capability</t>
  </si>
  <si>
    <t xml:space="preserve">Selection flow (PRISMA-style counts, auto-calculated from Screening_Log)</t>
  </si>
  <si>
    <t xml:space="preserve">Stage</t>
  </si>
  <si>
    <t xml:space="preserve">Count</t>
  </si>
  <si>
    <t xml:space="preserve">Note</t>
  </si>
  <si>
    <t xml:space="preserve">Unique records logged (de-duplicated by identifier)</t>
  </si>
  <si>
    <t xml:space="preserve">8 paper-index queries, 1 web query, 2 manual adds (see Protocol)</t>
  </si>
  <si>
    <t xml:space="preserve">Duplicates / earlier versions removed (E3)</t>
  </si>
  <si>
    <t xml:space="preserve">Preprints and arXiv versions of an included paper</t>
  </si>
  <si>
    <t xml:space="preserve">Records screened on title/abstract</t>
  </si>
  <si>
    <t xml:space="preserve">Excluded E1: no computational/learning/efficiency claim</t>
  </si>
  <si>
    <t xml:space="preserve">Disease modeling, tools, engineering</t>
  </si>
  <si>
    <t xml:space="preserve">Excluded E2: OI mentioned in passing</t>
  </si>
  <si>
    <t xml:space="preserve">Excluded E4: opinion, news, social, tertiary</t>
  </si>
  <si>
    <t xml:space="preserve">Excluded E5: AI, simulation, or hardware only</t>
  </si>
  <si>
    <t xml:space="preserve">No living neural substrate</t>
  </si>
  <si>
    <t xml:space="preserve">Excluded E6: outside date range</t>
  </si>
  <si>
    <t xml:space="preserve">Excluded E7: full text not accessible</t>
  </si>
  <si>
    <t xml:space="preserve">Excluded E8: ethics not specific to computing/OI</t>
  </si>
  <si>
    <t xml:space="preserve">Candidates for ethics background if the team wants them</t>
  </si>
  <si>
    <t xml:space="preserve">Total excluded (excluding duplicates)</t>
  </si>
  <si>
    <t xml:space="preserve">Context sources kept, not scored</t>
  </si>
  <si>
    <t xml:space="preserve">   C1 critique / skeptical</t>
  </si>
  <si>
    <t xml:space="preserve">   C2 commentary / press (claim propagation)</t>
  </si>
  <si>
    <t xml:space="preserve">   C3 ethics arm (OI-specific)</t>
  </si>
  <si>
    <t xml:space="preserve">   C4 comparator literature</t>
  </si>
  <si>
    <t xml:space="preserve">Maybe: needs second screener</t>
  </si>
  <si>
    <t xml:space="preserve">Promote to Include or exclude after full-text check</t>
  </si>
  <si>
    <t xml:space="preserve">Included for scoring</t>
  </si>
  <si>
    <t xml:space="preserve">Rows are pre-filled on the Scoring sheet</t>
  </si>
  <si>
    <t xml:space="preserve">   Empirical (I)</t>
  </si>
  <si>
    <t xml:space="preserve">   Review / roadmap (R)</t>
  </si>
  <si>
    <t xml:space="preserve">   Grey literature (G)</t>
  </si>
  <si>
    <t xml:space="preserve">Check: screened - excluded - context - maybe - included</t>
  </si>
  <si>
    <t xml:space="preserve">Should be 0</t>
  </si>
  <si>
    <t xml:space="preserve">Check status</t>
  </si>
  <si>
    <t xml:space="preserve">Second-screener sample size</t>
  </si>
  <si>
    <t xml:space="preserve">Aim for ~20% of screened records</t>
  </si>
  <si>
    <t xml:space="preserve">Second-screener agreement</t>
  </si>
  <si>
    <t xml:space="preserve">Share of sampled records where decision matches</t>
  </si>
  <si>
    <t xml:space="preserve">Claims audit: one row per claim</t>
  </si>
  <si>
    <t xml:space="preserve">Rows C01-C11 are copied from the team's OI Notes on the five seed papers (source column says so); they were not re-checked against the PDFs. Add one row per claim as you code each paper. Tags: Demonstrated, Demonstrated under constraints, Projected (extrapolated estimate), Illustrative (authors flag it as illustration), Aspirational (stated as a future goal), Not demonstrated.</t>
  </si>
  <si>
    <t xml:space="preserve">Claim ID</t>
  </si>
  <si>
    <t xml:space="preserve">Paper ID</t>
  </si>
  <si>
    <t xml:space="preserve">Paper</t>
  </si>
  <si>
    <t xml:space="preserve">Category</t>
  </si>
  <si>
    <t xml:space="preserve">Claim</t>
  </si>
  <si>
    <t xml:space="preserve">Claim tag</t>
  </si>
  <si>
    <t xml:space="preserve">Evidence basis</t>
  </si>
  <si>
    <t xml:space="preserve">Comparator</t>
  </si>
  <si>
    <t xml:space="preserve">Unit / n</t>
  </si>
  <si>
    <t xml:space="preserve">Source</t>
  </si>
  <si>
    <t xml:space="preserve">Notes (where in paper, caveats)</t>
  </si>
  <si>
    <t xml:space="preserve">C01</t>
  </si>
  <si>
    <t xml:space="preserve">Kagan 2022</t>
  </si>
  <si>
    <t xml:space="preserve">Learning/adaptation</t>
  </si>
  <si>
    <t xml:space="preserve">Learning in 2D cortical cultures with closed-loop feedback (Pong)</t>
  </si>
  <si>
    <t xml:space="preserve">Demonstrated under constraints</t>
  </si>
  <si>
    <t xml:space="preserve">Measured</t>
  </si>
  <si>
    <t xml:space="preserve">No-cell, rest, in-silico, HEK293T and media-only controls (none showed learning)</t>
  </si>
  <si>
    <t xml:space="preserve">Cultures: MCC 9, HCC 11; sessions 101 and 138 (not independent)</t>
  </si>
  <si>
    <t xml:space="preserve">Team OI Notes</t>
  </si>
  <si>
    <t xml:space="preserve">Not robust across days (cultures appeared to relearn each session); 2D monolayers, not organoids. Resolve n (cultures vs sessions) in Figure 5 legend and Methods.</t>
  </si>
  <si>
    <t xml:space="preserve">C02</t>
  </si>
  <si>
    <t xml:space="preserve">Sentience/intelligence</t>
  </si>
  <si>
    <t xml:space="preserve">'Sentience' (responsive to sensory impressions)</t>
  </si>
  <si>
    <t xml:space="preserve">Not demonstrated</t>
  </si>
  <si>
    <t xml:space="preserve">Team notes: very weak definition, so the title overstates the result. Coder to confirm the tag.</t>
  </si>
  <si>
    <t xml:space="preserve">C03</t>
  </si>
  <si>
    <t xml:space="preserve">Cai 2023</t>
  </si>
  <si>
    <t xml:space="preserve">Computational performance</t>
  </si>
  <si>
    <t xml:space="preserve">Henon-map prediction improves with training in organoids (about 0.36 on day 1 to about 0.81 after four epochs)</t>
  </si>
  <si>
    <t xml:space="preserve">Linear regression; ANN with/without LSTM (about 50 epochs). Baseline strength unverified; fair check is a software reservoir of similar size</t>
  </si>
  <si>
    <t xml:space="preserve">Not recorded; verify</t>
  </si>
  <si>
    <t xml:space="preserve">Negative control (K252a) about 0.31 to 0.39; blank chip 0. Authors list organoid heterogeneity and variable viability as limits.</t>
  </si>
  <si>
    <t xml:space="preserve">C04</t>
  </si>
  <si>
    <t xml:space="preserve">Efficiency (energy/sample/cost)</t>
  </si>
  <si>
    <t xml:space="preserve">Energy advantage of brain over AI hardware (about 20 W vs about 8 MW)</t>
  </si>
  <si>
    <t xml:space="preserve">None</t>
  </si>
  <si>
    <t xml:space="preserve">Motivation only (Introduction/Discussion); no energy measured for Brainoware.</t>
  </si>
  <si>
    <t xml:space="preserve">C05</t>
  </si>
  <si>
    <t xml:space="preserve">Khajehnejad 2025</t>
  </si>
  <si>
    <t xml:space="preserve">Sample efficiency of cultures versus DQN, A2C and PPO</t>
  </si>
  <si>
    <t xml:space="preserve">DQN, A2C, PPO. RL got 40x40 pixels vs cultures' 8-pixel input; 70-episode cap mapped to about 20 minutes</t>
  </si>
  <si>
    <t xml:space="preserve">HCC 174 sessions, MCC 110 sessions</t>
  </si>
  <si>
    <t xml:space="preserve">With 11,000 episodes all three RL algorithms learned. Hypothesis stated up front. Cortical Labs co-authors. Authors call energy comparison 'difficult'.</t>
  </si>
  <si>
    <t xml:space="preserve">C06</t>
  </si>
  <si>
    <t xml:space="preserve">Jordan 2024</t>
  </si>
  <si>
    <t xml:space="preserve">Platform infrastructure: organoids maintained and stimulated remotely; lifespan up to 100 days in best cases</t>
  </si>
  <si>
    <t xml:space="preserve">Demonstrated</t>
  </si>
  <si>
    <t xml:space="preserve">Over 1,000 organoids over three years (per team notes)</t>
  </si>
  <si>
    <t xml:space="preserve">Section labels for lifespan and capacity limits were inferred in the notes; confirm in the PDF.</t>
  </si>
  <si>
    <t xml:space="preserve">C07</t>
  </si>
  <si>
    <t xml:space="preserve">Energy efficiency of wetware versus silicon</t>
  </si>
  <si>
    <t xml:space="preserve">Projected</t>
  </si>
  <si>
    <t xml:space="preserve">GPT-3 training energy vs 20 W brain (motivation)</t>
  </si>
  <si>
    <t xml:space="preserve">No measured energy or power figures. A fair comparison must count two incubators, a peristaltic pump, a syringe pump and cameras per MEA.</t>
  </si>
  <si>
    <t xml:space="preserve">C08</t>
  </si>
  <si>
    <t xml:space="preserve">Computing performance / classification accuracy</t>
  </si>
  <si>
    <t xml:space="preserve">Team notes: work shown is stimulation experiments, not a computing benchmark. Do not cite the 95.5% figure as accuracy; it came from an extraction tool, verify in Section 5.2.</t>
  </si>
  <si>
    <t xml:space="preserve">C09</t>
  </si>
  <si>
    <t xml:space="preserve">Smirnova 2023</t>
  </si>
  <si>
    <t xml:space="preserve">Brain-vs-machine efficiency numbers (Frontier 21 MW vs brain 10-20 W; about 10^10x energy; &gt;10^6x data efficiency)</t>
  </si>
  <si>
    <t xml:space="preserve">Illustrative</t>
  </si>
  <si>
    <t xml:space="preserve">Cited from other work</t>
  </si>
  <si>
    <t xml:space="preserve">Frontier supercomputer; AlphaGo</t>
  </si>
  <si>
    <t xml:space="preserve">Whole-brain figures, not organoid. Authors say comparisons 'serve only as illustrations' and OI power demands are 'very different'.</t>
  </si>
  <si>
    <t xml:space="preserve">C10</t>
  </si>
  <si>
    <t xml:space="preserve">Per-organoid capacity (about 800 MB) and OI performance potential</t>
  </si>
  <si>
    <t xml:space="preserve">Aspirational</t>
  </si>
  <si>
    <t xml:space="preserve">Theoretical, based on under 500 um diameter and under 100,000 cells. Authors say most biocomputing research 'remains in its infancy'.</t>
  </si>
  <si>
    <t xml:space="preserve">C11</t>
  </si>
  <si>
    <t xml:space="preserve">Learning in cultures cited as support for OI</t>
  </si>
  <si>
    <t xml:space="preserve">Team notes: demonstrated elsewhere (Kagan), in 2D cultures only; not organoid evidence.</t>
  </si>
  <si>
    <t xml:space="preserve">Scoring sheet: one row per included paper</t>
  </si>
  <si>
    <t xml:space="preserve">Score each item 0/1/2 or NA (see Rubric_Anchors). Rater 1 and Rater 2 score independently without seeing each other's columns; the Final block shows the agreed score, or DISCUSS where raters differ. After discussion, overwrite DISCUSS cells with the agreed value.</t>
  </si>
  <si>
    <t xml:space="preserve">Blue-on-yellow = team input. Columns E and F are pre-filled drafts (from abstracts and identifiers) and need checking; COI for the five seed papers comes from the team's OI Notes. Always verify scores against the PDF, not the abstract.</t>
  </si>
  <si>
    <t xml:space="preserve">Paper (pre-filled)</t>
  </si>
  <si>
    <t xml:space="preserve">Rater 1</t>
  </si>
  <si>
    <t xml:space="preserve">Rater 2</t>
  </si>
  <si>
    <t xml:space="preserve">Final (auto: R1/R2 match, else DISCUSS)</t>
  </si>
  <si>
    <t xml:space="preserve">Summary and tier</t>
  </si>
  <si>
    <t xml:space="preserve">Type</t>
  </si>
  <si>
    <t xml:space="preserve">Claim categories (draft: C=computational, L=learning, E=efficiency)</t>
  </si>
  <si>
    <t xml:space="preserve">Peer-review status (auto from identifier)</t>
  </si>
  <si>
    <t xml:space="preserve">Replication evidence (cite who/where; informs RP score)</t>
  </si>
  <si>
    <t xml:space="preserve">Hypothesis stated up front</t>
  </si>
  <si>
    <t xml:space="preserve">R1 SM</t>
  </si>
  <si>
    <t xml:space="preserve">R1 UA</t>
  </si>
  <si>
    <t xml:space="preserve">R1 CT</t>
  </si>
  <si>
    <t xml:space="preserve">R1 CF</t>
  </si>
  <si>
    <t xml:space="preserve">R1 EA</t>
  </si>
  <si>
    <t xml:space="preserve">R1 RB</t>
  </si>
  <si>
    <t xml:space="preserve">R1 TR</t>
  </si>
  <si>
    <t xml:space="preserve">R1 CC</t>
  </si>
  <si>
    <t xml:space="preserve">R1 RP</t>
  </si>
  <si>
    <t xml:space="preserve">R2 SM</t>
  </si>
  <si>
    <t xml:space="preserve">R2 UA</t>
  </si>
  <si>
    <t xml:space="preserve">R2 CT</t>
  </si>
  <si>
    <t xml:space="preserve">R2 CF</t>
  </si>
  <si>
    <t xml:space="preserve">R2 EA</t>
  </si>
  <si>
    <t xml:space="preserve">R2 RB</t>
  </si>
  <si>
    <t xml:space="preserve">R2 TR</t>
  </si>
  <si>
    <t xml:space="preserve">R2 CC</t>
  </si>
  <si>
    <t xml:space="preserve">R2 RP</t>
  </si>
  <si>
    <t xml:space="preserve">Final SM</t>
  </si>
  <si>
    <t xml:space="preserve">Final UA</t>
  </si>
  <si>
    <t xml:space="preserve">Final CT</t>
  </si>
  <si>
    <t xml:space="preserve">Final CF</t>
  </si>
  <si>
    <t xml:space="preserve">Final EA</t>
  </si>
  <si>
    <t xml:space="preserve">Final RB</t>
  </si>
  <si>
    <t xml:space="preserve">Final TR</t>
  </si>
  <si>
    <t xml:space="preserve">Final CC</t>
  </si>
  <si>
    <t xml:space="preserve">Final RP</t>
  </si>
  <si>
    <t xml:space="preserve">Final mean</t>
  </si>
  <si>
    <t xml:space="preserve">Items scored</t>
  </si>
  <si>
    <t xml:space="preserve">Items to discuss</t>
  </si>
  <si>
    <t xml:space="preserve">Tier (auto)</t>
  </si>
  <si>
    <t xml:space="preserve">Rank within tier</t>
  </si>
  <si>
    <t xml:space="preserve">L</t>
  </si>
  <si>
    <t xml:space="preserve">Peer-reviewed</t>
  </si>
  <si>
    <t xml:space="preserve">Mixed academic-industry authors</t>
  </si>
  <si>
    <t xml:space="preserve">Unknown</t>
  </si>
  <si>
    <t xml:space="preserve">C,E</t>
  </si>
  <si>
    <t xml:space="preserve">L,E</t>
  </si>
  <si>
    <t xml:space="preserve">Company / industry source</t>
  </si>
  <si>
    <t xml:space="preserve">C</t>
  </si>
  <si>
    <t xml:space="preserve">Not checked</t>
  </si>
  <si>
    <t xml:space="preserve">E</t>
  </si>
  <si>
    <t xml:space="preserve">Scoring sheet for reviews, roadmaps and company/market pages (separate rubric: Rubric_Anchors rows 22+)</t>
  </si>
  <si>
    <t xml:space="preserve">These records make claims by citing other work, so empirical items (controls, unit of analysis, robustness) don't apply. Same 0/1/2/NA scale, two raters, same tier cut-offs (Tiers sheet). Their tier is reported separately from the empirical tiers.</t>
  </si>
  <si>
    <t xml:space="preserve">Final (auto)</t>
  </si>
  <si>
    <t xml:space="preserve">Claim categories</t>
  </si>
  <si>
    <t xml:space="preserve">Peer-review status</t>
  </si>
  <si>
    <t xml:space="preserve">R1 PS</t>
  </si>
  <si>
    <t xml:space="preserve">R1 HR</t>
  </si>
  <si>
    <t xml:space="preserve">R1 MP</t>
  </si>
  <si>
    <t xml:space="preserve">R2 PS</t>
  </si>
  <si>
    <t xml:space="preserve">R2 HR</t>
  </si>
  <si>
    <t xml:space="preserve">R2 MP</t>
  </si>
  <si>
    <t xml:space="preserve">Final PS</t>
  </si>
  <si>
    <t xml:space="preserve">Final HR</t>
  </si>
  <si>
    <t xml:space="preserve">Final MP</t>
  </si>
  <si>
    <t xml:space="preserve">C,L,E</t>
  </si>
  <si>
    <t xml:space="preserve">Academic, declared industry COI</t>
  </si>
  <si>
    <t xml:space="preserve">Company/market page</t>
  </si>
  <si>
    <t xml:space="preserve">Rubric v1 (draft for team review): scoring anchors</t>
  </si>
  <si>
    <t xml:space="preserve">Report each paper as a profile across items, not as one total. Use NA when an item does not apply; NA is excluded from averages. This table is for empirical papers; reviews, roadmaps and company pages use the Review rubric below.</t>
  </si>
  <si>
    <t xml:space="preserve">Item</t>
  </si>
  <si>
    <t xml:space="preserve">What it asks</t>
  </si>
  <si>
    <t xml:space="preserve">2</t>
  </si>
  <si>
    <t xml:space="preserve">1</t>
  </si>
  <si>
    <t xml:space="preserve">0</t>
  </si>
  <si>
    <t xml:space="preserve">Use NA when</t>
  </si>
  <si>
    <t xml:space="preserve">Where to look</t>
  </si>
  <si>
    <t xml:space="preserve">SM</t>
  </si>
  <si>
    <t xml:space="preserve">System match</t>
  </si>
  <si>
    <t xml:space="preserve">Does the claim concern the system that was actually tested?</t>
  </si>
  <si>
    <t xml:space="preserve">Claim is about the substrate tested (organoid claims from organoid data)</t>
  </si>
  <si>
    <t xml:space="preserve">Mixed or 2D/organoid gap exists and the paper acknowledges it</t>
  </si>
  <si>
    <t xml:space="preserve">Claim extrapolated beyond the system tested with no acknowledgment (e.g., 2D culture result presented as organoid or brain evidence)</t>
  </si>
  <si>
    <t xml:space="preserve">Never for empirical papers. For reviews, score the evidence they cite for their headline claims</t>
  </si>
  <si>
    <t xml:space="preserve">Abstract vs Methods; cell source and culture type</t>
  </si>
  <si>
    <t xml:space="preserve">UA</t>
  </si>
  <si>
    <t xml:space="preserve">Unit of analysis</t>
  </si>
  <si>
    <t xml:space="preserve">Are statistics done at the level of independent biological units?</t>
  </si>
  <si>
    <t xml:space="preserve">Stats at culture/organoid level, or a model that accounts for repeated sessions</t>
  </si>
  <si>
    <t xml:space="preserve">n reported but independence unclear</t>
  </si>
  <si>
    <t xml:space="preserve">n missing, or repeated sessions/recordings treated as independent samples</t>
  </si>
  <si>
    <t xml:space="preserve">No quantitative result or statistics reported (reviews, grey literature)</t>
  </si>
  <si>
    <t xml:space="preserve">Figure legends, Methods statistics, supplementary tables</t>
  </si>
  <si>
    <t xml:space="preserve">CT</t>
  </si>
  <si>
    <t xml:space="preserve">Controls</t>
  </si>
  <si>
    <t xml:space="preserve">Could the result arise from artifact rather than neural activity or learning?</t>
  </si>
  <si>
    <t xml:space="preserve">Two or more appropriate negative controls (e.g., no-cell, inactive cells, no stimulation, no feedback)</t>
  </si>
  <si>
    <t xml:space="preserve">One control</t>
  </si>
  <si>
    <t xml:space="preserve">No controls</t>
  </si>
  <si>
    <t xml:space="preserve">Reviews and grey literature</t>
  </si>
  <si>
    <t xml:space="preserve">Results, control figures, supplementary figures</t>
  </si>
  <si>
    <t xml:space="preserve">CF</t>
  </si>
  <si>
    <t xml:space="preserve">Comparator fairness</t>
  </si>
  <si>
    <t xml:space="preserve">If compared with AI/silicon, is the comparison like-for-like?</t>
  </si>
  <si>
    <t xml:space="preserve">Same task and metric, matched inputs and budget, baseline tuned or tuning documented, no cap that favors one side</t>
  </si>
  <si>
    <t xml:space="preserve">Partial matching, limitations stated</t>
  </si>
  <si>
    <t xml:space="preserve">Comparator unmatched, untuned, or unspecified</t>
  </si>
  <si>
    <t xml:space="preserve">No comparison to AI or silicon is made</t>
  </si>
  <si>
    <t xml:space="preserve">Methods (baselines, input encoding, hyperparameters), comparison figures</t>
  </si>
  <si>
    <t xml:space="preserve">EA</t>
  </si>
  <si>
    <t xml:space="preserve">Energy accounting</t>
  </si>
  <si>
    <t xml:space="preserve">If an energy-efficiency claim is made, was energy measured for the full system?</t>
  </si>
  <si>
    <t xml:space="preserve">Measured full-system energy including life support (incubation, pumps, cooling), against a stated comparator</t>
  </si>
  <si>
    <t xml:space="preserve">Partial measurement (e.g., electrode or neuron level only)</t>
  </si>
  <si>
    <t xml:space="preserve">Energy appears only as motivation or as brain-level figures</t>
  </si>
  <si>
    <t xml:space="preserve">No energy claim. Sample- or data-efficiency claims are scored under CF, not here</t>
  </si>
  <si>
    <t xml:space="preserve">Introduction, Discussion, any power or energy table</t>
  </si>
  <si>
    <t xml:space="preserve">RB</t>
  </si>
  <si>
    <t xml:space="preserve">Robustness</t>
  </si>
  <si>
    <t xml:space="preserve">Does the result hold across days, batches, lines, or labs?</t>
  </si>
  <si>
    <t xml:space="preserve">Shown across days/batches/lines (or replicated within the paper)</t>
  </si>
  <si>
    <t xml:space="preserve">Single condition, limitation honestly stated</t>
  </si>
  <si>
    <t xml:space="preserve">Not examined, or contradicted by the paper's own data</t>
  </si>
  <si>
    <t xml:space="preserve">Results across sessions, supplementary replicates, Limitations</t>
  </si>
  <si>
    <t xml:space="preserve">TR</t>
  </si>
  <si>
    <t xml:space="preserve">Transparency</t>
  </si>
  <si>
    <t xml:space="preserve">Could another lab reproduce the work?</t>
  </si>
  <si>
    <t xml:space="preserve">Methods sufficient (organoid/culture protocol, stimulation and recording parameters) and data or code available</t>
  </si>
  <si>
    <t xml:space="preserve">Methods sufficient but no data/code, or data on request only</t>
  </si>
  <si>
    <t xml:space="preserve">Insufficient methods and no data/code</t>
  </si>
  <si>
    <t xml:space="preserve">Grey literature (score as 0 if no methods given)</t>
  </si>
  <si>
    <t xml:space="preserve">Methods, data availability statement, repositories</t>
  </si>
  <si>
    <t xml:space="preserve">CC</t>
  </si>
  <si>
    <t xml:space="preserve">Claim calibration</t>
  </si>
  <si>
    <t xml:space="preserve">Do title, abstract, and headline claims match the evidence and the paper's own limitations?</t>
  </si>
  <si>
    <t xml:space="preserve">Headline claims match results and limitations</t>
  </si>
  <si>
    <t xml:space="preserve">Mild overreach (stronger wording in title/abstract than in results)</t>
  </si>
  <si>
    <t xml:space="preserve">Headline contradicted by the paper's own hedges or limitations</t>
  </si>
  <si>
    <t xml:space="preserve">Never</t>
  </si>
  <si>
    <t xml:space="preserve">Title, abstract vs Results and Limitations</t>
  </si>
  <si>
    <t xml:space="preserve">RP</t>
  </si>
  <si>
    <t xml:space="preserve">Replication</t>
  </si>
  <si>
    <t xml:space="preserve">Has the result been reproduced by anyone other than the original team?</t>
  </si>
  <si>
    <t xml:space="preserve">Independently reproduced by a lab with no author overlap (or an independent reanalysis of shared data reaches the same result)</t>
  </si>
  <si>
    <t xml:space="preserve">Repeated only by the same group or company, or in a follow-up by overlapping authors</t>
  </si>
  <si>
    <t xml:space="preserve">No replication attempt known</t>
  </si>
  <si>
    <t xml:space="preserve">Never. Expect mostly 0 in this field; the point is to see where the exceptions are</t>
  </si>
  <si>
    <t xml:space="preserve">Citing papers (Google Scholar 'cited by'), follow-up preprints, replication notes</t>
  </si>
  <si>
    <t xml:space="preserve">Descriptors (recorded, not scored)</t>
  </si>
  <si>
    <t xml:space="preserve">Company / industry source; Mixed academic-industry authors; Academic, declared industry COI; Academic, none declared; Not checked. Record from the affiliations and competing-interest statement. A COI is not a rigor flaw by itself; the Analysis sheet tests whether it tracks the scores.</t>
  </si>
  <si>
    <t xml:space="preserve">Pre-filled from the identifier (preprint servers vs journals). Some preprints have since been published, so verify.</t>
  </si>
  <si>
    <t xml:space="preserve">Yes if the paper states the predicted result before the methods/results (e.g., Khajehnejad anticipates greater sample efficiency).</t>
  </si>
  <si>
    <t xml:space="preserve">Review rubric: reviews, roadmaps and company/market pages (scored on Scoring_Reviews)</t>
  </si>
  <si>
    <t xml:space="preserve">PS</t>
  </si>
  <si>
    <t xml:space="preserve">Primary sourcing</t>
  </si>
  <si>
    <t xml:space="preserve">Do the headline numbers trace to primary measurements?</t>
  </si>
  <si>
    <t xml:space="preserve">Each headline number is cited to the primary study that measured it</t>
  </si>
  <si>
    <t xml:space="preserve">Some traced, some cited second-hand or to other reviews</t>
  </si>
  <si>
    <t xml:space="preserve">Key numbers uncited, or only cited to reviews or press</t>
  </si>
  <si>
    <t xml:space="preserve">Reference list vs the numbers in the abstract and text</t>
  </si>
  <si>
    <t xml:space="preserve">HR</t>
  </si>
  <si>
    <t xml:space="preserve">Hedge retention</t>
  </si>
  <si>
    <t xml:space="preserve">Does it carry forward the original authors' caveats?</t>
  </si>
  <si>
    <t xml:space="preserve">Caveats preserved (e.g., 2D not organoid, whole-brain not organoid, capped comparison)</t>
  </si>
  <si>
    <t xml:space="preserve">Some caveats dropped</t>
  </si>
  <si>
    <t xml:space="preserve">Caveated results stated as established</t>
  </si>
  <si>
    <t xml:space="preserve">Compare each cited claim with its source paper's Limitations</t>
  </si>
  <si>
    <t xml:space="preserve">MP</t>
  </si>
  <si>
    <t xml:space="preserve">Measured vs projected</t>
  </si>
  <si>
    <t xml:space="preserve">Does it separate what was measured from what is projected or hoped for?</t>
  </si>
  <si>
    <t xml:space="preserve">Labels measured, projected and aspirational claims clearly</t>
  </si>
  <si>
    <t xml:space="preserve">Partly separated</t>
  </si>
  <si>
    <t xml:space="preserve">Blends them (e.g., brain-level efficiency presented as organoid-level)</t>
  </si>
  <si>
    <t xml:space="preserve">Efficiency, capacity and 'potential' statements</t>
  </si>
  <si>
    <t xml:space="preserve">Do title, abstract and headline match the evidence it presents?</t>
  </si>
  <si>
    <t xml:space="preserve">Headline matches the evidence and the stated limits</t>
  </si>
  <si>
    <t xml:space="preserve">Mild overreach</t>
  </si>
  <si>
    <t xml:space="preserve">Headline contradicted by its own hedges or by the evidence it cites</t>
  </si>
  <si>
    <t xml:space="preserve">Title and abstract vs body</t>
  </si>
  <si>
    <t xml:space="preserve">Tiers: sort papers into High / Medium / Low, compare within tiers, extract findings, find the determining factor</t>
  </si>
  <si>
    <t xml:space="preserve">Step 1 sorts each paper by its mean Final score. Step 2 ranks papers against each other inside a tier (Scoring column 'Rank within tier'). Step 3 summarizes what each tier shows. Step 4 asks which rubric item separates the tiers.</t>
  </si>
  <si>
    <t xml:space="preserve">1. Tier cut-offs (team input; fix them BEFORE scoring and record the date in Protocol)</t>
  </si>
  <si>
    <t xml:space="preserve">High tier: mean Final score at least</t>
  </si>
  <si>
    <t xml:space="preserve">Out of 2. Papers at or above this are High.</t>
  </si>
  <si>
    <t xml:space="preserve">Medium tier: mean Final score at least</t>
  </si>
  <si>
    <t xml:space="preserve">Below this is Low.</t>
  </si>
  <si>
    <t xml:space="preserve">Minimum items scored (empirical papers)</t>
  </si>
  <si>
    <t xml:space="preserve">Out of 9. Fewer scored items = Unrated, so NA-heavy papers aren't tiered on thin evidence.</t>
  </si>
  <si>
    <t xml:space="preserve">Minimum items scored (reviews / company pages)</t>
  </si>
  <si>
    <t xml:space="preserve">Out of 4.</t>
  </si>
  <si>
    <t xml:space="preserve">A paper shows 'Resolve DISCUSS' instead of a tier until every rater disagreement is settled.</t>
  </si>
  <si>
    <t xml:space="preserve">2. Papers per tier</t>
  </si>
  <si>
    <t xml:space="preserve">Tier</t>
  </si>
  <si>
    <t xml:space="preserve">Empirical papers</t>
  </si>
  <si>
    <t xml:space="preserve">Reviews / company pages</t>
  </si>
  <si>
    <t xml:space="preserve">High</t>
  </si>
  <si>
    <t xml:space="preserve">Medium</t>
  </si>
  <si>
    <t xml:space="preserve">Low</t>
  </si>
  <si>
    <t xml:space="preserve">Unrated</t>
  </si>
  <si>
    <t xml:space="preserve">Resolve DISCUSS</t>
  </si>
  <si>
    <t xml:space="preserve">3. Mean Final score per item within each tier (empirical papers)</t>
  </si>
  <si>
    <t xml:space="preserve">Papers</t>
  </si>
  <si>
    <t xml:space="preserve">Gap: High minus Low</t>
  </si>
  <si>
    <t xml:space="preserve">Gap rank (1 = biggest gap)</t>
  </si>
  <si>
    <t xml:space="preserve">Candidate determining factor (auto): item with the largest High-Low gap</t>
  </si>
  <si>
    <t xml:space="preserve">Read this carefully: tiers are built from the same item scores, so a gap is partly built in and says which items drive the tiers, not what causes rigor. Treat the auto factor as a lead, then check it two ways: (a) re-tier with that item left out and count how many papers change tier; (b) read the papers that sit in a different tier from what the item alone predicts. Replication will probably score 0 for nearly everyone, so its gap will be small even if it matters; look at who has any replication at all.</t>
  </si>
  <si>
    <t xml:space="preserve">4. Who is in each tier (empirical papers)</t>
  </si>
  <si>
    <t xml:space="preserve">Group</t>
  </si>
  <si>
    <t xml:space="preserve">COI: Company / industry source</t>
  </si>
  <si>
    <t xml:space="preserve">COI: Mixed academic-industry authors</t>
  </si>
  <si>
    <t xml:space="preserve">COI: Academic, declared industry COI</t>
  </si>
  <si>
    <t xml:space="preserve">COI: Academic, none declared</t>
  </si>
  <si>
    <t xml:space="preserve">Makes a computational claim</t>
  </si>
  <si>
    <t xml:space="preserve">Makes a learning claim</t>
  </si>
  <si>
    <t xml:space="preserve">Makes an efficiency claim</t>
  </si>
  <si>
    <t xml:space="preserve">5. Essential findings from each tier (team writes these after scoring; one row per tier)</t>
  </si>
  <si>
    <t xml:space="preserve">What these papers actually show (essential findings)</t>
  </si>
  <si>
    <t xml:space="preserve">Shared strengths</t>
  </si>
  <si>
    <t xml:space="preserve">Shared weaknesses</t>
  </si>
  <si>
    <t xml:space="preserve">Claims that hold up</t>
  </si>
  <si>
    <t xml:space="preserve">Claims that do not</t>
  </si>
  <si>
    <t xml:space="preserve">Papers to cite as examples</t>
  </si>
  <si>
    <t xml:space="preserve">6. Determining factor (team conclusion)</t>
  </si>
  <si>
    <t xml:space="preserve">Factor the team settles on</t>
  </si>
  <si>
    <t xml:space="preserve">Evidence (tier gaps, leave-one-out check, papers read)</t>
  </si>
  <si>
    <t xml:space="preserve">What would change this conclusion</t>
  </si>
  <si>
    <t xml:space="preserve">Analysis (all cells are formulas on the Scoring and Claims sheets; they fill in as scores are entered)</t>
  </si>
  <si>
    <t xml:space="preserve">1. Item means (Final scores)</t>
  </si>
  <si>
    <t xml:space="preserve">Papers scored</t>
  </si>
  <si>
    <t xml:space="preserve">NA</t>
  </si>
  <si>
    <t xml:space="preserve">Mean (0-2)</t>
  </si>
  <si>
    <t xml:space="preserve">% scored 2</t>
  </si>
  <si>
    <t xml:space="preserve">% scored 0</t>
  </si>
  <si>
    <t xml:space="preserve">2. Inter-rater agreement, Rater 1 vs Rater 2 (unweighted Cohen's kappa; only pairs where both raters gave a number)</t>
  </si>
  <si>
    <t xml:space="preserve">Pairs</t>
  </si>
  <si>
    <t xml:space="preserve">Exact agree</t>
  </si>
  <si>
    <t xml:space="preserve">% agree</t>
  </si>
  <si>
    <t xml:space="preserve">0-vs-2 splits</t>
  </si>
  <si>
    <t xml:space="preserve">R1=0</t>
  </si>
  <si>
    <t xml:space="preserve">R1=1</t>
  </si>
  <si>
    <t xml:space="preserve">R1=2</t>
  </si>
  <si>
    <t xml:space="preserve">R2=0</t>
  </si>
  <si>
    <t xml:space="preserve">R2=1</t>
  </si>
  <si>
    <t xml:space="preserve">R2=2</t>
  </si>
  <si>
    <t xml:space="preserve">Expected agree (pE)</t>
  </si>
  <si>
    <t xml:space="preserve">Cohen's kappa</t>
  </si>
  <si>
    <t xml:space="preserve">All</t>
  </si>
  <si>
    <t xml:space="preserve">Pooled across items</t>
  </si>
  <si>
    <t xml:space="preserve">Notes: unweighted kappa treats 0-vs-1 and 0-vs-2 as equally bad, which is harsh for an ordinal scale; a linear-weighted kappa can be computed once scores exist. With about 10-15 doubly scored papers, per-item kappas are unstable, so lean on the pooled figure and the 0-vs-2 splits. Kappa can be low even with high % agreement when one score dominates (e.g., most EA items are NA or 0).</t>
  </si>
  <si>
    <t xml:space="preserve">3. Scores by COI / affiliation group (descriptive; does affiliation track rigor?)</t>
  </si>
  <si>
    <t xml:space="preserve">Papers with a score</t>
  </si>
  <si>
    <t xml:space="preserve">Mean of paper means</t>
  </si>
  <si>
    <t xml:space="preserve">Caution: groups will be small and confounded (industry sources also make most of the efficiency claims, so EA and CF are scored on different papers). Report counts alongside means, and use an exact test (e.g., Mann-Whitney) rather than reading small gaps as findings.</t>
  </si>
  <si>
    <t xml:space="preserve">4. Scores by peer-review status</t>
  </si>
  <si>
    <t xml:space="preserve">5. Claims audit: how each claim category is tagged</t>
  </si>
  <si>
    <t xml:space="preserve">Total claims</t>
  </si>
  <si>
    <t xml:space="preserve">% without direct measurement</t>
  </si>
  <si>
    <t xml:space="preserve">All categories</t>
  </si>
  <si>
    <t xml:space="preserve">'% without direct measurement' = (Projected + Illustrative + Aspirational + Not demonstrated) / total claims. It depends entirely on which claims you choose to log, so log every explicit efficiency, learning and computation claim, not only the weak ones.</t>
  </si>
  <si>
    <t xml:space="preserve">Meaning</t>
  </si>
  <si>
    <t xml:space="preserve">Decision class</t>
  </si>
  <si>
    <t xml:space="preserve">Include: empirical paper with a computational, learning, or efficiency claim about living neural tissue as a substrate</t>
  </si>
  <si>
    <t xml:space="preserve">Include: review or roadmap that makes explicit claims about such systems</t>
  </si>
  <si>
    <t xml:space="preserve">Include: grey literature (company page or market report) making explicit claims</t>
  </si>
  <si>
    <t xml:space="preserve">Maybe: borderline, needs second screener or full-text check</t>
  </si>
  <si>
    <t xml:space="preserve">Context: critique or skeptical source (not scored; used for calibration and claim-propagation arguments)</t>
  </si>
  <si>
    <t xml:space="preserve">Context: commentary, editorial, or press coverage (not scored; used to trace how claims propagate)</t>
  </si>
  <si>
    <t xml:space="preserve">Context: ethics or governance paper specific to organoid computing / OI (ethics arm, not scored on the main rubric)</t>
  </si>
  <si>
    <t xml:space="preserve">Context: comparator literature (e.g., AI/neuromorphic energy and sample-efficiency baselines)</t>
  </si>
  <si>
    <t xml:space="preserve">Exclude: no computational, learning, or efficiency claim (disease modeling, tools, engineering, theory)</t>
  </si>
  <si>
    <t xml:space="preserve">Exclude: mentions OI only in passing</t>
  </si>
  <si>
    <t xml:space="preserve">Exclude: duplicate or earlier version of an included record (version of record kept)</t>
  </si>
  <si>
    <t xml:space="preserve">Exclude: opinion, news, social media, or tertiary source with no evidence base</t>
  </si>
  <si>
    <t xml:space="preserve">Exclude: AI, simulation, or hardware only; no living neural substrate</t>
  </si>
  <si>
    <t xml:space="preserve">Exclude: outside date range (before 2020)</t>
  </si>
  <si>
    <t xml:space="preserve">E7</t>
  </si>
  <si>
    <t xml:space="preserve">Exclude: full text not accessible</t>
  </si>
  <si>
    <t xml:space="preserve">Exclude: brain-organoid ethics not specific to computing / OI</t>
  </si>
  <si>
    <t xml:space="preserve">Score</t>
  </si>
  <si>
    <t xml:space="preserve">Claim category</t>
  </si>
  <si>
    <t xml:space="preserve">Yes/No</t>
  </si>
  <si>
    <t xml:space="preserve">Yes</t>
  </si>
  <si>
    <t xml:space="preserve">No</t>
  </si>
  <si>
    <t xml:space="preserve">Partially measured</t>
  </si>
  <si>
    <t xml:space="preserve">Edit these lists to change dropdown options. Do not rename a value after scoring starts.</t>
  </si>
</sst>
</file>

<file path=xl/styles.xml><?xml version="1.0" encoding="utf-8"?>
<styleSheet xmlns="http://schemas.openxmlformats.org/spreadsheetml/2006/main">
  <numFmts count="3">
    <numFmt numFmtId="164" formatCode="General"/>
    <numFmt numFmtId="165" formatCode="0%"/>
    <numFmt numFmtId="166" formatCode="0.00"/>
  </numFmts>
  <fonts count="10">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b val="true"/>
      <sz val="10"/>
      <name val="Arial"/>
      <family val="0"/>
      <charset val="1"/>
    </font>
    <font>
      <sz val="10"/>
      <name val="Arial"/>
      <family val="0"/>
      <charset val="1"/>
    </font>
    <font>
      <b val="true"/>
      <sz val="10"/>
      <color rgb="FFFFFFFF"/>
      <name val="Arial"/>
      <family val="0"/>
      <charset val="1"/>
    </font>
    <font>
      <sz val="10"/>
      <color rgb="FF0000FF"/>
      <name val="Arial"/>
      <family val="0"/>
      <charset val="1"/>
    </font>
    <font>
      <i val="true"/>
      <sz val="9"/>
      <color rgb="FF595959"/>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FFF2CC"/>
        <bgColor rgb="FFFFFFFF"/>
      </patternFill>
    </fill>
    <fill>
      <patternFill patternType="solid">
        <fgColor rgb="FFBDD7EE"/>
        <bgColor rgb="FF99CC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5" fontId="6" fillId="0"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center" vertical="center" textRotation="0" wrapText="tru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left" vertical="top" textRotation="0" wrapText="true" indent="0" shrinkToFit="false"/>
      <protection locked="true" hidden="false"/>
    </xf>
    <xf numFmtId="164" fontId="6" fillId="0" borderId="1" xfId="0" applyFont="true" applyBorder="true" applyAlignment="true" applyProtection="false">
      <alignment horizontal="center" vertical="top" textRotation="0" wrapText="true" indent="0" shrinkToFit="false"/>
      <protection locked="true" hidden="false"/>
    </xf>
    <xf numFmtId="164" fontId="8" fillId="3" borderId="1" xfId="0" applyFont="true" applyBorder="true" applyAlignment="true" applyProtection="false">
      <alignment horizontal="center" vertical="top" textRotation="0" wrapText="true" indent="0" shrinkToFit="false"/>
      <protection locked="true" hidden="false"/>
    </xf>
    <xf numFmtId="166" fontId="6" fillId="0" borderId="1"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6" fontId="6" fillId="0"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6" fontId="5" fillId="0" borderId="1" xfId="0" applyFont="true" applyBorder="true" applyAlignment="false" applyProtection="false">
      <alignment horizontal="general" vertical="bottom" textRotation="0" wrapText="false" indent="0" shrinkToFit="false"/>
      <protection locked="true" hidden="false"/>
    </xf>
    <xf numFmtId="165" fontId="6" fillId="0" borderId="1"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center" vertical="center"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FFF2CC"/>
          <bgColor rgb="FF000000"/>
        </patternFill>
      </fill>
    </dxf>
    <dxf>
      <fill>
        <patternFill patternType="solid">
          <fgColor rgb="FF0000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120"/>
  </cols>
  <sheetData>
    <row r="1" customFormat="false" ht="17.35" hidden="false" customHeight="false" outlineLevel="0" collapsed="false">
      <c r="A1" s="1" t="s">
        <v>0</v>
      </c>
    </row>
    <row r="3" customFormat="false" ht="30" hidden="false" customHeight="true" outlineLevel="0" collapsed="false">
      <c r="A3" s="2" t="s">
        <v>1</v>
      </c>
      <c r="B3" s="3" t="s">
        <v>2</v>
      </c>
    </row>
    <row r="4" customFormat="false" ht="75" hidden="false" customHeight="true" outlineLevel="0" collapsed="false">
      <c r="A4" s="2" t="s">
        <v>3</v>
      </c>
      <c r="B4" s="3" t="s">
        <v>4</v>
      </c>
    </row>
    <row r="5" customFormat="false" ht="90" hidden="false" customHeight="true" outlineLevel="0" collapsed="false">
      <c r="A5" s="2" t="s">
        <v>5</v>
      </c>
      <c r="B5" s="3" t="s">
        <v>6</v>
      </c>
    </row>
    <row r="6" customFormat="false" ht="30" hidden="false" customHeight="true" outlineLevel="0" collapsed="false">
      <c r="A6" s="2" t="s">
        <v>7</v>
      </c>
      <c r="B6" s="3" t="s">
        <v>8</v>
      </c>
    </row>
    <row r="7" customFormat="false" ht="30" hidden="false" customHeight="true" outlineLevel="0" collapsed="false">
      <c r="A7" s="2" t="s">
        <v>9</v>
      </c>
      <c r="B7" s="3" t="s">
        <v>10</v>
      </c>
    </row>
    <row r="8" customFormat="false" ht="30" hidden="false" customHeight="true" outlineLevel="0" collapsed="false">
      <c r="A8" s="2" t="s">
        <v>11</v>
      </c>
      <c r="B8" s="3" t="s">
        <v>12</v>
      </c>
    </row>
    <row r="9" customFormat="false" ht="30" hidden="false" customHeight="true" outlineLevel="0" collapsed="false">
      <c r="A9" s="2" t="s">
        <v>13</v>
      </c>
      <c r="B9" s="3" t="s">
        <v>14</v>
      </c>
    </row>
    <row r="10" customFormat="false" ht="30" hidden="false" customHeight="true" outlineLevel="0" collapsed="false">
      <c r="A10" s="2" t="s">
        <v>15</v>
      </c>
      <c r="B10" s="3" t="s">
        <v>16</v>
      </c>
    </row>
    <row r="12" customFormat="false" ht="15" hidden="false" customHeight="false" outlineLevel="0" collapsed="false">
      <c r="A12" s="4" t="s">
        <v>17</v>
      </c>
    </row>
    <row r="13" customFormat="false" ht="19.5" hidden="false" customHeight="true" outlineLevel="0" collapsed="false">
      <c r="A13" s="5" t="s">
        <v>18</v>
      </c>
      <c r="B13" s="5" t="s">
        <v>19</v>
      </c>
    </row>
    <row r="14" customFormat="false" ht="15" hidden="false" customHeight="false" outlineLevel="0" collapsed="false">
      <c r="A14" s="3" t="s">
        <v>20</v>
      </c>
      <c r="B14" s="6" t="s">
        <v>21</v>
      </c>
    </row>
    <row r="15" customFormat="false" ht="23.85" hidden="false" customHeight="false" outlineLevel="0" collapsed="false">
      <c r="A15" s="3" t="s">
        <v>22</v>
      </c>
      <c r="B15" s="6" t="s">
        <v>23</v>
      </c>
    </row>
    <row r="16" customFormat="false" ht="15" hidden="false" customHeight="false" outlineLevel="0" collapsed="false">
      <c r="A16" s="3" t="s">
        <v>24</v>
      </c>
      <c r="B16" s="6" t="s">
        <v>25</v>
      </c>
    </row>
    <row r="17" customFormat="false" ht="15" hidden="false" customHeight="false" outlineLevel="0" collapsed="false">
      <c r="A17" s="3" t="s">
        <v>26</v>
      </c>
      <c r="B17" s="6" t="s">
        <v>27</v>
      </c>
    </row>
    <row r="18" customFormat="false" ht="15" hidden="false" customHeight="false" outlineLevel="0" collapsed="false">
      <c r="A18" s="3" t="s">
        <v>28</v>
      </c>
      <c r="B18" s="6" t="s">
        <v>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30"/>
  </cols>
  <sheetData>
    <row r="1" customFormat="false" ht="17.35" hidden="false" customHeight="false" outlineLevel="0" collapsed="false">
      <c r="A1" s="1" t="s">
        <v>30</v>
      </c>
    </row>
    <row r="3" customFormat="false" ht="31.5" hidden="false" customHeight="true" outlineLevel="0" collapsed="false">
      <c r="A3" s="2" t="s">
        <v>31</v>
      </c>
      <c r="B3" s="3" t="s">
        <v>32</v>
      </c>
    </row>
    <row r="4" customFormat="false" ht="31.5" hidden="false" customHeight="true" outlineLevel="0" collapsed="false">
      <c r="A4" s="2" t="s">
        <v>33</v>
      </c>
      <c r="B4" s="3" t="s">
        <v>34</v>
      </c>
    </row>
    <row r="5" customFormat="false" ht="120" hidden="false" customHeight="true" outlineLevel="0" collapsed="false">
      <c r="A5" s="2" t="s">
        <v>35</v>
      </c>
      <c r="B5" s="3" t="s">
        <v>36</v>
      </c>
    </row>
    <row r="6" customFormat="false" ht="31.5" hidden="false" customHeight="true" outlineLevel="0" collapsed="false">
      <c r="A6" s="2" t="s">
        <v>37</v>
      </c>
      <c r="B6" s="3" t="s">
        <v>38</v>
      </c>
    </row>
    <row r="7" customFormat="false" ht="31.5" hidden="false" customHeight="true" outlineLevel="0" collapsed="false">
      <c r="A7" s="2" t="s">
        <v>39</v>
      </c>
      <c r="B7" s="3" t="s">
        <v>40</v>
      </c>
    </row>
    <row r="8" customFormat="false" ht="210" hidden="false" customHeight="true" outlineLevel="0" collapsed="false">
      <c r="A8" s="2" t="s">
        <v>41</v>
      </c>
      <c r="B8" s="3" t="s">
        <v>42</v>
      </c>
    </row>
    <row r="9" customFormat="false" ht="31.5" hidden="false" customHeight="true" outlineLevel="0" collapsed="false">
      <c r="A9" s="2" t="s">
        <v>43</v>
      </c>
      <c r="B9" s="3" t="s">
        <v>44</v>
      </c>
    </row>
    <row r="10" customFormat="false" ht="31.5" hidden="false" customHeight="true" outlineLevel="0" collapsed="false">
      <c r="A10" s="2" t="s">
        <v>45</v>
      </c>
      <c r="B10" s="3" t="s">
        <v>46</v>
      </c>
    </row>
    <row r="11" customFormat="false" ht="31.5" hidden="false" customHeight="true" outlineLevel="0" collapsed="false">
      <c r="A11" s="2" t="s">
        <v>47</v>
      </c>
      <c r="B11" s="3" t="s">
        <v>48</v>
      </c>
    </row>
    <row r="12" customFormat="false" ht="120" hidden="false" customHeight="true" outlineLevel="0" collapsed="false">
      <c r="A12" s="2" t="s">
        <v>49</v>
      </c>
      <c r="B12" s="3" t="s">
        <v>50</v>
      </c>
    </row>
    <row r="13" customFormat="false" ht="31.5" hidden="false" customHeight="true" outlineLevel="0" collapsed="false">
      <c r="A13" s="2" t="s">
        <v>51</v>
      </c>
      <c r="B13" s="3" t="s">
        <v>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0"/>
    <col collapsed="false" customWidth="true" hidden="false" outlineLevel="0" max="3" min="3" style="0" width="70"/>
    <col collapsed="false" customWidth="true" hidden="false" outlineLevel="0" max="4" min="4" style="0" width="7"/>
    <col collapsed="false" customWidth="true" hidden="false" outlineLevel="0" max="6" min="5" style="0" width="16"/>
    <col collapsed="false" customWidth="true" hidden="false" outlineLevel="0" max="7" min="7" style="0" width="10"/>
    <col collapsed="false" customWidth="true" hidden="false" outlineLevel="0" max="8" min="8" style="0" width="7"/>
    <col collapsed="false" customWidth="true" hidden="false" outlineLevel="0" max="9" min="9" style="0" width="60"/>
    <col collapsed="false" customWidth="true" hidden="false" outlineLevel="0" max="10" min="10" style="0" width="50"/>
    <col collapsed="false" customWidth="true" hidden="false" outlineLevel="0" max="11" min="11" style="0" width="16"/>
    <col collapsed="false" customWidth="true" hidden="false" outlineLevel="0" max="12" min="12" style="0" width="9"/>
  </cols>
  <sheetData>
    <row r="1" customFormat="false" ht="17.35" hidden="false" customHeight="false" outlineLevel="0" collapsed="false">
      <c r="A1" s="1" t="s">
        <v>53</v>
      </c>
    </row>
    <row r="2" customFormat="false" ht="15" hidden="false" customHeight="false" outlineLevel="0" collapsed="false">
      <c r="A2" s="7" t="s">
        <v>54</v>
      </c>
    </row>
    <row r="3" customFormat="false" ht="15" hidden="false" customHeight="false" outlineLevel="0" collapsed="false">
      <c r="A3" s="7" t="s">
        <v>55</v>
      </c>
    </row>
    <row r="5" customFormat="false" ht="31.5" hidden="false" customHeight="true" outlineLevel="0" collapsed="false">
      <c r="A5" s="5" t="s">
        <v>56</v>
      </c>
      <c r="B5" s="5" t="s">
        <v>57</v>
      </c>
      <c r="C5" s="5" t="s">
        <v>58</v>
      </c>
      <c r="D5" s="5" t="s">
        <v>59</v>
      </c>
      <c r="E5" s="5" t="s">
        <v>60</v>
      </c>
      <c r="F5" s="5" t="s">
        <v>61</v>
      </c>
      <c r="G5" s="5" t="s">
        <v>62</v>
      </c>
      <c r="H5" s="5" t="s">
        <v>63</v>
      </c>
      <c r="I5" s="5" t="s">
        <v>64</v>
      </c>
      <c r="J5" s="5" t="s">
        <v>65</v>
      </c>
      <c r="K5" s="5" t="s">
        <v>66</v>
      </c>
      <c r="L5" s="5" t="s">
        <v>67</v>
      </c>
    </row>
    <row r="6" customFormat="false" ht="23.85" hidden="false" customHeight="false" outlineLevel="0" collapsed="false">
      <c r="A6" s="3" t="n">
        <v>1</v>
      </c>
      <c r="B6" s="3" t="s">
        <v>68</v>
      </c>
      <c r="C6" s="3" t="s">
        <v>69</v>
      </c>
      <c r="D6" s="3" t="n">
        <v>2022</v>
      </c>
      <c r="E6" s="3" t="s">
        <v>70</v>
      </c>
      <c r="F6" s="3" t="s">
        <v>71</v>
      </c>
      <c r="G6" s="3" t="s">
        <v>72</v>
      </c>
      <c r="H6" s="3" t="s">
        <v>73</v>
      </c>
      <c r="I6" s="3" t="str">
        <f aca="false">IF(H6="","",IFERROR(INDEX(Codes!$B$2:$B$30,MATCH(H6,Codes!$A$2:$A$30,0)),""))</f>
        <v>Include: empirical paper with a computational, learning, or efficiency claim about living neural tissue as a substrate</v>
      </c>
      <c r="J6" s="3" t="s">
        <v>74</v>
      </c>
      <c r="K6" s="8"/>
      <c r="L6" s="9" t="str">
        <f aca="false">IF(K6="","",IF(K6=G6,"Y","N"))</f>
        <v/>
      </c>
    </row>
    <row r="7" customFormat="false" ht="23.85" hidden="false" customHeight="false" outlineLevel="0" collapsed="false">
      <c r="A7" s="3" t="n">
        <v>2</v>
      </c>
      <c r="B7" s="3" t="s">
        <v>75</v>
      </c>
      <c r="C7" s="3" t="s">
        <v>76</v>
      </c>
      <c r="D7" s="3" t="n">
        <v>2023</v>
      </c>
      <c r="E7" s="3" t="s">
        <v>70</v>
      </c>
      <c r="F7" s="3" t="s">
        <v>77</v>
      </c>
      <c r="G7" s="3" t="s">
        <v>72</v>
      </c>
      <c r="H7" s="3" t="s">
        <v>73</v>
      </c>
      <c r="I7" s="3" t="str">
        <f aca="false">IF(H7="","",IFERROR(INDEX(Codes!$B$2:$B$30,MATCH(H7,Codes!$A$2:$A$30,0)),""))</f>
        <v>Include: empirical paper with a computational, learning, or efficiency claim about living neural tissue as a substrate</v>
      </c>
      <c r="J7" s="3" t="s">
        <v>78</v>
      </c>
      <c r="K7" s="8"/>
      <c r="L7" s="9" t="str">
        <f aca="false">IF(K7="","",IF(K7=G7,"Y","N"))</f>
        <v/>
      </c>
    </row>
    <row r="8" customFormat="false" ht="23.85" hidden="false" customHeight="false" outlineLevel="0" collapsed="false">
      <c r="A8" s="3" t="n">
        <v>3</v>
      </c>
      <c r="B8" s="3" t="s">
        <v>79</v>
      </c>
      <c r="C8" s="3" t="s">
        <v>80</v>
      </c>
      <c r="D8" s="3" t="n">
        <v>2025</v>
      </c>
      <c r="E8" s="3" t="s">
        <v>70</v>
      </c>
      <c r="F8" s="3" t="s">
        <v>71</v>
      </c>
      <c r="G8" s="3" t="s">
        <v>72</v>
      </c>
      <c r="H8" s="3" t="s">
        <v>73</v>
      </c>
      <c r="I8" s="3" t="str">
        <f aca="false">IF(H8="","",IFERROR(INDEX(Codes!$B$2:$B$30,MATCH(H8,Codes!$A$2:$A$30,0)),""))</f>
        <v>Include: empirical paper with a computational, learning, or efficiency claim about living neural tissue as a substrate</v>
      </c>
      <c r="J8" s="3" t="s">
        <v>81</v>
      </c>
      <c r="K8" s="8"/>
      <c r="L8" s="9" t="str">
        <f aca="false">IF(K8="","",IF(K8=G8,"Y","N"))</f>
        <v/>
      </c>
    </row>
    <row r="9" customFormat="false" ht="23.85" hidden="false" customHeight="false" outlineLevel="0" collapsed="false">
      <c r="A9" s="3" t="n">
        <v>4</v>
      </c>
      <c r="B9" s="3" t="s">
        <v>82</v>
      </c>
      <c r="C9" s="3" t="s">
        <v>83</v>
      </c>
      <c r="D9" s="3" t="n">
        <v>2024</v>
      </c>
      <c r="E9" s="3" t="s">
        <v>70</v>
      </c>
      <c r="F9" s="3" t="s">
        <v>84</v>
      </c>
      <c r="G9" s="3" t="s">
        <v>72</v>
      </c>
      <c r="H9" s="3" t="s">
        <v>73</v>
      </c>
      <c r="I9" s="3" t="str">
        <f aca="false">IF(H9="","",IFERROR(INDEX(Codes!$B$2:$B$30,MATCH(H9,Codes!$A$2:$A$30,0)),""))</f>
        <v>Include: empirical paper with a computational, learning, or efficiency claim about living neural tissue as a substrate</v>
      </c>
      <c r="J9" s="3" t="s">
        <v>85</v>
      </c>
      <c r="K9" s="8"/>
      <c r="L9" s="9" t="str">
        <f aca="false">IF(K9="","",IF(K9=G9,"Y","N"))</f>
        <v/>
      </c>
    </row>
    <row r="10" customFormat="false" ht="23.85" hidden="false" customHeight="false" outlineLevel="0" collapsed="false">
      <c r="A10" s="3" t="n">
        <v>5</v>
      </c>
      <c r="B10" s="3" t="s">
        <v>86</v>
      </c>
      <c r="C10" s="3" t="s">
        <v>87</v>
      </c>
      <c r="D10" s="3" t="n">
        <v>2023</v>
      </c>
      <c r="E10" s="3" t="s">
        <v>88</v>
      </c>
      <c r="F10" s="3" t="s">
        <v>89</v>
      </c>
      <c r="G10" s="3" t="s">
        <v>72</v>
      </c>
      <c r="H10" s="3" t="s">
        <v>90</v>
      </c>
      <c r="I10" s="3" t="str">
        <f aca="false">IF(H10="","",IFERROR(INDEX(Codes!$B$2:$B$30,MATCH(H10,Codes!$A$2:$A$30,0)),""))</f>
        <v>Include: review or roadmap that makes explicit claims about such systems</v>
      </c>
      <c r="J10" s="3" t="s">
        <v>91</v>
      </c>
      <c r="K10" s="8"/>
      <c r="L10" s="9" t="str">
        <f aca="false">IF(K10="","",IF(K10=G10,"Y","N"))</f>
        <v/>
      </c>
    </row>
    <row r="11" customFormat="false" ht="23.85" hidden="false" customHeight="false" outlineLevel="0" collapsed="false">
      <c r="A11" s="3" t="n">
        <v>6</v>
      </c>
      <c r="B11" s="3" t="s">
        <v>92</v>
      </c>
      <c r="C11" s="3" t="s">
        <v>93</v>
      </c>
      <c r="D11" s="3" t="n">
        <v>2026</v>
      </c>
      <c r="E11" s="3" t="s">
        <v>88</v>
      </c>
      <c r="F11" s="3" t="s">
        <v>94</v>
      </c>
      <c r="G11" s="3" t="s">
        <v>72</v>
      </c>
      <c r="H11" s="3" t="s">
        <v>90</v>
      </c>
      <c r="I11" s="3" t="str">
        <f aca="false">IF(H11="","",IFERROR(INDEX(Codes!$B$2:$B$30,MATCH(H11,Codes!$A$2:$A$30,0)),""))</f>
        <v>Include: review or roadmap that makes explicit claims about such systems</v>
      </c>
      <c r="J11" s="3"/>
      <c r="K11" s="8"/>
      <c r="L11" s="9" t="str">
        <f aca="false">IF(K11="","",IF(K11=G11,"Y","N"))</f>
        <v/>
      </c>
    </row>
    <row r="12" customFormat="false" ht="15" hidden="false" customHeight="false" outlineLevel="0" collapsed="false">
      <c r="A12" s="3" t="n">
        <v>7</v>
      </c>
      <c r="B12" s="3" t="s">
        <v>95</v>
      </c>
      <c r="C12" s="3" t="s">
        <v>96</v>
      </c>
      <c r="D12" s="3" t="n">
        <v>2025</v>
      </c>
      <c r="E12" s="3" t="s">
        <v>88</v>
      </c>
      <c r="F12" s="3" t="s">
        <v>94</v>
      </c>
      <c r="G12" s="3" t="s">
        <v>72</v>
      </c>
      <c r="H12" s="3" t="s">
        <v>90</v>
      </c>
      <c r="I12" s="3" t="str">
        <f aca="false">IF(H12="","",IFERROR(INDEX(Codes!$B$2:$B$30,MATCH(H12,Codes!$A$2:$A$30,0)),""))</f>
        <v>Include: review or roadmap that makes explicit claims about such systems</v>
      </c>
      <c r="J12" s="3"/>
      <c r="K12" s="8"/>
      <c r="L12" s="9" t="str">
        <f aca="false">IF(K12="","",IF(K12=G12,"Y","N"))</f>
        <v/>
      </c>
    </row>
    <row r="13" customFormat="false" ht="15" hidden="false" customHeight="false" outlineLevel="0" collapsed="false">
      <c r="A13" s="3" t="n">
        <v>8</v>
      </c>
      <c r="B13" s="3" t="s">
        <v>97</v>
      </c>
      <c r="C13" s="3" t="s">
        <v>98</v>
      </c>
      <c r="D13" s="3" t="n">
        <v>2023</v>
      </c>
      <c r="E13" s="3" t="s">
        <v>88</v>
      </c>
      <c r="F13" s="3" t="s">
        <v>94</v>
      </c>
      <c r="G13" s="3" t="s">
        <v>72</v>
      </c>
      <c r="H13" s="3" t="s">
        <v>90</v>
      </c>
      <c r="I13" s="3" t="str">
        <f aca="false">IF(H13="","",IFERROR(INDEX(Codes!$B$2:$B$30,MATCH(H13,Codes!$A$2:$A$30,0)),""))</f>
        <v>Include: review or roadmap that makes explicit claims about such systems</v>
      </c>
      <c r="J13" s="3"/>
      <c r="K13" s="8"/>
      <c r="L13" s="9" t="str">
        <f aca="false">IF(K13="","",IF(K13=G13,"Y","N"))</f>
        <v/>
      </c>
    </row>
    <row r="14" customFormat="false" ht="23.85" hidden="false" customHeight="false" outlineLevel="0" collapsed="false">
      <c r="A14" s="3" t="n">
        <v>9</v>
      </c>
      <c r="B14" s="3" t="s">
        <v>99</v>
      </c>
      <c r="C14" s="3" t="s">
        <v>100</v>
      </c>
      <c r="D14" s="3" t="n">
        <v>2023</v>
      </c>
      <c r="E14" s="3" t="s">
        <v>70</v>
      </c>
      <c r="F14" s="3" t="s">
        <v>101</v>
      </c>
      <c r="G14" s="3" t="s">
        <v>102</v>
      </c>
      <c r="H14" s="3" t="s">
        <v>103</v>
      </c>
      <c r="I14" s="3" t="str">
        <f aca="false">IF(H14="","",IFERROR(INDEX(Codes!$B$2:$B$30,MATCH(H14,Codes!$A$2:$A$30,0)),""))</f>
        <v>Exclude: duplicate or earlier version of an included record (version of record kept)</v>
      </c>
      <c r="J14" s="3" t="s">
        <v>104</v>
      </c>
      <c r="K14" s="8"/>
      <c r="L14" s="9" t="str">
        <f aca="false">IF(K14="","",IF(K14=G14,"Y","N"))</f>
        <v/>
      </c>
    </row>
    <row r="15" customFormat="false" ht="23.85" hidden="false" customHeight="false" outlineLevel="0" collapsed="false">
      <c r="A15" s="3" t="n">
        <v>10</v>
      </c>
      <c r="B15" s="3" t="s">
        <v>105</v>
      </c>
      <c r="C15" s="3" t="s">
        <v>106</v>
      </c>
      <c r="D15" s="3" t="n">
        <v>2023</v>
      </c>
      <c r="E15" s="3" t="s">
        <v>88</v>
      </c>
      <c r="F15" s="3" t="s">
        <v>94</v>
      </c>
      <c r="G15" s="3" t="s">
        <v>72</v>
      </c>
      <c r="H15" s="3" t="s">
        <v>90</v>
      </c>
      <c r="I15" s="3" t="str">
        <f aca="false">IF(H15="","",IFERROR(INDEX(Codes!$B$2:$B$30,MATCH(H15,Codes!$A$2:$A$30,0)),""))</f>
        <v>Include: review or roadmap that makes explicit claims about such systems</v>
      </c>
      <c r="J15" s="3"/>
      <c r="K15" s="8"/>
      <c r="L15" s="9" t="str">
        <f aca="false">IF(K15="","",IF(K15=G15,"Y","N"))</f>
        <v/>
      </c>
    </row>
    <row r="16" customFormat="false" ht="23.85" hidden="false" customHeight="false" outlineLevel="0" collapsed="false">
      <c r="A16" s="3" t="n">
        <v>11</v>
      </c>
      <c r="B16" s="3" t="s">
        <v>107</v>
      </c>
      <c r="C16" s="3" t="s">
        <v>108</v>
      </c>
      <c r="D16" s="3" t="n">
        <v>2024</v>
      </c>
      <c r="E16" s="3" t="s">
        <v>88</v>
      </c>
      <c r="F16" s="3" t="s">
        <v>94</v>
      </c>
      <c r="G16" s="3" t="s">
        <v>109</v>
      </c>
      <c r="H16" s="3" t="s">
        <v>110</v>
      </c>
      <c r="I16" s="3" t="str">
        <f aca="false">IF(H16="","",IFERROR(INDEX(Codes!$B$2:$B$30,MATCH(H16,Codes!$A$2:$A$30,0)),""))</f>
        <v>Maybe: borderline, needs second screener or full-text check</v>
      </c>
      <c r="J16" s="3" t="s">
        <v>111</v>
      </c>
      <c r="K16" s="8"/>
      <c r="L16" s="9" t="str">
        <f aca="false">IF(K16="","",IF(K16=G16,"Y","N"))</f>
        <v/>
      </c>
    </row>
    <row r="17" customFormat="false" ht="23.85" hidden="false" customHeight="false" outlineLevel="0" collapsed="false">
      <c r="A17" s="3" t="n">
        <v>12</v>
      </c>
      <c r="B17" s="3" t="s">
        <v>112</v>
      </c>
      <c r="C17" s="3" t="s">
        <v>113</v>
      </c>
      <c r="D17" s="3" t="n">
        <v>2025</v>
      </c>
      <c r="E17" s="3" t="s">
        <v>114</v>
      </c>
      <c r="F17" s="3" t="s">
        <v>101</v>
      </c>
      <c r="G17" s="3" t="s">
        <v>109</v>
      </c>
      <c r="H17" s="3" t="s">
        <v>110</v>
      </c>
      <c r="I17" s="3" t="str">
        <f aca="false">IF(H17="","",IFERROR(INDEX(Codes!$B$2:$B$30,MATCH(H17,Codes!$A$2:$A$30,0)),""))</f>
        <v>Maybe: borderline, needs second screener or full-text check</v>
      </c>
      <c r="J17" s="3" t="s">
        <v>115</v>
      </c>
      <c r="K17" s="8"/>
      <c r="L17" s="9" t="str">
        <f aca="false">IF(K17="","",IF(K17=G17,"Y","N"))</f>
        <v/>
      </c>
    </row>
    <row r="18" customFormat="false" ht="23.85" hidden="false" customHeight="false" outlineLevel="0" collapsed="false">
      <c r="A18" s="3" t="n">
        <v>13</v>
      </c>
      <c r="B18" s="3" t="s">
        <v>116</v>
      </c>
      <c r="C18" s="3" t="s">
        <v>117</v>
      </c>
      <c r="D18" s="3" t="n">
        <v>2026</v>
      </c>
      <c r="E18" s="3" t="s">
        <v>70</v>
      </c>
      <c r="F18" s="3" t="s">
        <v>94</v>
      </c>
      <c r="G18" s="3" t="s">
        <v>72</v>
      </c>
      <c r="H18" s="3" t="s">
        <v>73</v>
      </c>
      <c r="I18" s="3" t="str">
        <f aca="false">IF(H18="","",IFERROR(INDEX(Codes!$B$2:$B$30,MATCH(H18,Codes!$A$2:$A$30,0)),""))</f>
        <v>Include: empirical paper with a computational, learning, or efficiency claim about living neural tissue as a substrate</v>
      </c>
      <c r="J18" s="3" t="s">
        <v>118</v>
      </c>
      <c r="K18" s="8"/>
      <c r="L18" s="9" t="str">
        <f aca="false">IF(K18="","",IF(K18=G18,"Y","N"))</f>
        <v/>
      </c>
    </row>
    <row r="19" customFormat="false" ht="23.85" hidden="false" customHeight="false" outlineLevel="0" collapsed="false">
      <c r="A19" s="3" t="n">
        <v>14</v>
      </c>
      <c r="B19" s="3" t="s">
        <v>119</v>
      </c>
      <c r="C19" s="3" t="s">
        <v>120</v>
      </c>
      <c r="D19" s="3" t="n">
        <v>2023</v>
      </c>
      <c r="E19" s="3" t="s">
        <v>121</v>
      </c>
      <c r="F19" s="3" t="s">
        <v>122</v>
      </c>
      <c r="G19" s="3" t="s">
        <v>123</v>
      </c>
      <c r="H19" s="3" t="s">
        <v>124</v>
      </c>
      <c r="I19" s="3" t="str">
        <f aca="false">IF(H19="","",IFERROR(INDEX(Codes!$B$2:$B$30,MATCH(H19,Codes!$A$2:$A$30,0)),""))</f>
        <v>Context: ethics or governance paper specific to organoid computing / OI (ethics arm, not scored on the main rubric)</v>
      </c>
      <c r="J19" s="3" t="s">
        <v>125</v>
      </c>
      <c r="K19" s="8"/>
      <c r="L19" s="9" t="str">
        <f aca="false">IF(K19="","",IF(K19=G19,"Y","N"))</f>
        <v/>
      </c>
    </row>
    <row r="20" customFormat="false" ht="23.85" hidden="false" customHeight="false" outlineLevel="0" collapsed="false">
      <c r="A20" s="3" t="n">
        <v>15</v>
      </c>
      <c r="B20" s="3" t="s">
        <v>126</v>
      </c>
      <c r="C20" s="3" t="s">
        <v>127</v>
      </c>
      <c r="D20" s="3" t="n">
        <v>2026</v>
      </c>
      <c r="E20" s="3" t="s">
        <v>121</v>
      </c>
      <c r="F20" s="3" t="s">
        <v>122</v>
      </c>
      <c r="G20" s="3" t="s">
        <v>123</v>
      </c>
      <c r="H20" s="3" t="s">
        <v>124</v>
      </c>
      <c r="I20" s="3" t="str">
        <f aca="false">IF(H20="","",IFERROR(INDEX(Codes!$B$2:$B$30,MATCH(H20,Codes!$A$2:$A$30,0)),""))</f>
        <v>Context: ethics or governance paper specific to organoid computing / OI (ethics arm, not scored on the main rubric)</v>
      </c>
      <c r="J20" s="3" t="s">
        <v>125</v>
      </c>
      <c r="K20" s="8"/>
      <c r="L20" s="9" t="str">
        <f aca="false">IF(K20="","",IF(K20=G20,"Y","N"))</f>
        <v/>
      </c>
    </row>
    <row r="21" customFormat="false" ht="15" hidden="false" customHeight="false" outlineLevel="0" collapsed="false">
      <c r="A21" s="3" t="n">
        <v>16</v>
      </c>
      <c r="B21" s="3" t="s">
        <v>128</v>
      </c>
      <c r="C21" s="3" t="s">
        <v>129</v>
      </c>
      <c r="D21" s="3" t="n">
        <v>2025</v>
      </c>
      <c r="E21" s="3" t="s">
        <v>88</v>
      </c>
      <c r="F21" s="3" t="s">
        <v>94</v>
      </c>
      <c r="G21" s="3" t="s">
        <v>102</v>
      </c>
      <c r="H21" s="3" t="s">
        <v>130</v>
      </c>
      <c r="I21" s="3" t="str">
        <f aca="false">IF(H21="","",IFERROR(INDEX(Codes!$B$2:$B$30,MATCH(H21,Codes!$A$2:$A$30,0)),""))</f>
        <v>Exclude: mentions OI only in passing</v>
      </c>
      <c r="J21" s="3" t="s">
        <v>131</v>
      </c>
      <c r="K21" s="8"/>
      <c r="L21" s="9" t="str">
        <f aca="false">IF(K21="","",IF(K21=G21,"Y","N"))</f>
        <v/>
      </c>
    </row>
    <row r="22" customFormat="false" ht="23.85" hidden="false" customHeight="false" outlineLevel="0" collapsed="false">
      <c r="A22" s="3" t="n">
        <v>17</v>
      </c>
      <c r="B22" s="3" t="s">
        <v>132</v>
      </c>
      <c r="C22" s="3" t="s">
        <v>133</v>
      </c>
      <c r="D22" s="3" t="n">
        <v>2022</v>
      </c>
      <c r="E22" s="3" t="s">
        <v>134</v>
      </c>
      <c r="F22" s="3" t="s">
        <v>135</v>
      </c>
      <c r="G22" s="3" t="s">
        <v>123</v>
      </c>
      <c r="H22" s="3" t="s">
        <v>136</v>
      </c>
      <c r="I22" s="3" t="str">
        <f aca="false">IF(H22="","",IFERROR(INDEX(Codes!$B$2:$B$30,MATCH(H22,Codes!$A$2:$A$30,0)),""))</f>
        <v>Context: commentary, editorial, or press coverage (not scored; used to trace how claims propagate)</v>
      </c>
      <c r="J22" s="3" t="s">
        <v>137</v>
      </c>
      <c r="K22" s="8"/>
      <c r="L22" s="9" t="str">
        <f aca="false">IF(K22="","",IF(K22=G22,"Y","N"))</f>
        <v/>
      </c>
    </row>
    <row r="23" customFormat="false" ht="15" hidden="false" customHeight="false" outlineLevel="0" collapsed="false">
      <c r="A23" s="3" t="n">
        <v>18</v>
      </c>
      <c r="B23" s="3" t="s">
        <v>138</v>
      </c>
      <c r="C23" s="3" t="s">
        <v>139</v>
      </c>
      <c r="D23" s="3" t="n">
        <v>2025</v>
      </c>
      <c r="E23" s="3" t="s">
        <v>140</v>
      </c>
      <c r="F23" s="3" t="s">
        <v>94</v>
      </c>
      <c r="G23" s="3" t="s">
        <v>102</v>
      </c>
      <c r="H23" s="3" t="s">
        <v>141</v>
      </c>
      <c r="I23" s="3" t="str">
        <f aca="false">IF(H23="","",IFERROR(INDEX(Codes!$B$2:$B$30,MATCH(H23,Codes!$A$2:$A$30,0)),""))</f>
        <v>Exclude: AI, simulation, or hardware only; no living neural substrate</v>
      </c>
      <c r="J23" s="3" t="s">
        <v>142</v>
      </c>
      <c r="K23" s="8"/>
      <c r="L23" s="9" t="str">
        <f aca="false">IF(K23="","",IF(K23=G23,"Y","N"))</f>
        <v/>
      </c>
    </row>
    <row r="24" customFormat="false" ht="23.85" hidden="false" customHeight="false" outlineLevel="0" collapsed="false">
      <c r="A24" s="3" t="n">
        <v>19</v>
      </c>
      <c r="B24" s="3" t="s">
        <v>143</v>
      </c>
      <c r="C24" s="3" t="s">
        <v>144</v>
      </c>
      <c r="D24" s="3" t="n">
        <v>2025</v>
      </c>
      <c r="E24" s="3" t="s">
        <v>114</v>
      </c>
      <c r="F24" s="3" t="s">
        <v>101</v>
      </c>
      <c r="G24" s="3" t="s">
        <v>102</v>
      </c>
      <c r="H24" s="3" t="s">
        <v>145</v>
      </c>
      <c r="I24" s="3" t="str">
        <f aca="false">IF(H24="","",IFERROR(INDEX(Codes!$B$2:$B$30,MATCH(H24,Codes!$A$2:$A$30,0)),""))</f>
        <v>Exclude: no computational, learning, or efficiency claim (disease modeling, tools, engineering, theory)</v>
      </c>
      <c r="J24" s="3" t="s">
        <v>146</v>
      </c>
      <c r="K24" s="8"/>
      <c r="L24" s="9" t="str">
        <f aca="false">IF(K24="","",IF(K24=G24,"Y","N"))</f>
        <v/>
      </c>
    </row>
    <row r="25" customFormat="false" ht="23.85" hidden="false" customHeight="false" outlineLevel="0" collapsed="false">
      <c r="A25" s="3" t="n">
        <v>20</v>
      </c>
      <c r="B25" s="3" t="s">
        <v>147</v>
      </c>
      <c r="C25" s="3" t="s">
        <v>148</v>
      </c>
      <c r="D25" s="3" t="n">
        <v>2026</v>
      </c>
      <c r="E25" s="3" t="s">
        <v>70</v>
      </c>
      <c r="F25" s="3" t="s">
        <v>101</v>
      </c>
      <c r="G25" s="3" t="s">
        <v>72</v>
      </c>
      <c r="H25" s="3" t="s">
        <v>73</v>
      </c>
      <c r="I25" s="3" t="str">
        <f aca="false">IF(H25="","",IFERROR(INDEX(Codes!$B$2:$B$30,MATCH(H25,Codes!$A$2:$A$30,0)),""))</f>
        <v>Include: empirical paper with a computational, learning, or efficiency claim about living neural tissue as a substrate</v>
      </c>
      <c r="J25" s="3" t="s">
        <v>118</v>
      </c>
      <c r="K25" s="8"/>
      <c r="L25" s="9" t="str">
        <f aca="false">IF(K25="","",IF(K25=G25,"Y","N"))</f>
        <v/>
      </c>
    </row>
    <row r="26" customFormat="false" ht="23.85" hidden="false" customHeight="false" outlineLevel="0" collapsed="false">
      <c r="A26" s="3" t="n">
        <v>21</v>
      </c>
      <c r="B26" s="3" t="s">
        <v>149</v>
      </c>
      <c r="C26" s="3" t="s">
        <v>150</v>
      </c>
      <c r="D26" s="3" t="n">
        <v>2026</v>
      </c>
      <c r="E26" s="3" t="s">
        <v>70</v>
      </c>
      <c r="F26" s="3" t="s">
        <v>151</v>
      </c>
      <c r="G26" s="3" t="s">
        <v>72</v>
      </c>
      <c r="H26" s="3" t="s">
        <v>73</v>
      </c>
      <c r="I26" s="3" t="str">
        <f aca="false">IF(H26="","",IFERROR(INDEX(Codes!$B$2:$B$30,MATCH(H26,Codes!$A$2:$A$30,0)),""))</f>
        <v>Include: empirical paper with a computational, learning, or efficiency claim about living neural tissue as a substrate</v>
      </c>
      <c r="J26" s="3" t="s">
        <v>152</v>
      </c>
      <c r="K26" s="8"/>
      <c r="L26" s="9" t="str">
        <f aca="false">IF(K26="","",IF(K26=G26,"Y","N"))</f>
        <v/>
      </c>
    </row>
    <row r="27" customFormat="false" ht="23.85" hidden="false" customHeight="false" outlineLevel="0" collapsed="false">
      <c r="A27" s="3" t="n">
        <v>22</v>
      </c>
      <c r="B27" s="3" t="s">
        <v>153</v>
      </c>
      <c r="C27" s="3" t="s">
        <v>154</v>
      </c>
      <c r="D27" s="3" t="n">
        <v>2024</v>
      </c>
      <c r="E27" s="3" t="s">
        <v>121</v>
      </c>
      <c r="F27" s="3" t="s">
        <v>94</v>
      </c>
      <c r="G27" s="3" t="s">
        <v>123</v>
      </c>
      <c r="H27" s="3" t="s">
        <v>124</v>
      </c>
      <c r="I27" s="3" t="str">
        <f aca="false">IF(H27="","",IFERROR(INDEX(Codes!$B$2:$B$30,MATCH(H27,Codes!$A$2:$A$30,0)),""))</f>
        <v>Context: ethics or governance paper specific to organoid computing / OI (ethics arm, not scored on the main rubric)</v>
      </c>
      <c r="J27" s="3" t="s">
        <v>125</v>
      </c>
      <c r="K27" s="8"/>
      <c r="L27" s="9" t="str">
        <f aca="false">IF(K27="","",IF(K27=G27,"Y","N"))</f>
        <v/>
      </c>
    </row>
    <row r="28" customFormat="false" ht="23.85" hidden="false" customHeight="false" outlineLevel="0" collapsed="false">
      <c r="A28" s="3" t="n">
        <v>23</v>
      </c>
      <c r="B28" s="3" t="s">
        <v>155</v>
      </c>
      <c r="C28" s="3" t="s">
        <v>156</v>
      </c>
      <c r="D28" s="3" t="n">
        <v>2024</v>
      </c>
      <c r="E28" s="3" t="s">
        <v>70</v>
      </c>
      <c r="F28" s="3" t="s">
        <v>94</v>
      </c>
      <c r="G28" s="3" t="s">
        <v>102</v>
      </c>
      <c r="H28" s="3" t="s">
        <v>103</v>
      </c>
      <c r="I28" s="3" t="str">
        <f aca="false">IF(H28="","",IFERROR(INDEX(Codes!$B$2:$B$30,MATCH(H28,Codes!$A$2:$A$30,0)),""))</f>
        <v>Exclude: duplicate or earlier version of an included record (version of record kept)</v>
      </c>
      <c r="J28" s="3" t="s">
        <v>157</v>
      </c>
      <c r="K28" s="8"/>
      <c r="L28" s="9" t="str">
        <f aca="false">IF(K28="","",IF(K28=G28,"Y","N"))</f>
        <v/>
      </c>
    </row>
    <row r="29" customFormat="false" ht="23.85" hidden="false" customHeight="false" outlineLevel="0" collapsed="false">
      <c r="A29" s="3" t="n">
        <v>24</v>
      </c>
      <c r="B29" s="3" t="s">
        <v>158</v>
      </c>
      <c r="C29" s="3" t="s">
        <v>159</v>
      </c>
      <c r="D29" s="3" t="n">
        <v>2024</v>
      </c>
      <c r="E29" s="3" t="s">
        <v>88</v>
      </c>
      <c r="F29" s="3" t="s">
        <v>94</v>
      </c>
      <c r="G29" s="3" t="s">
        <v>72</v>
      </c>
      <c r="H29" s="3" t="s">
        <v>90</v>
      </c>
      <c r="I29" s="3" t="str">
        <f aca="false">IF(H29="","",IFERROR(INDEX(Codes!$B$2:$B$30,MATCH(H29,Codes!$A$2:$A$30,0)),""))</f>
        <v>Include: review or roadmap that makes explicit claims about such systems</v>
      </c>
      <c r="J29" s="3"/>
      <c r="K29" s="8"/>
      <c r="L29" s="9" t="str">
        <f aca="false">IF(K29="","",IF(K29=G29,"Y","N"))</f>
        <v/>
      </c>
    </row>
    <row r="30" customFormat="false" ht="15" hidden="false" customHeight="false" outlineLevel="0" collapsed="false">
      <c r="A30" s="3" t="n">
        <v>25</v>
      </c>
      <c r="B30" s="3" t="s">
        <v>160</v>
      </c>
      <c r="C30" s="3" t="s">
        <v>161</v>
      </c>
      <c r="D30" s="3" t="n">
        <v>2020</v>
      </c>
      <c r="E30" s="3" t="s">
        <v>88</v>
      </c>
      <c r="F30" s="3" t="s">
        <v>94</v>
      </c>
      <c r="G30" s="3" t="s">
        <v>102</v>
      </c>
      <c r="H30" s="3" t="s">
        <v>141</v>
      </c>
      <c r="I30" s="3" t="str">
        <f aca="false">IF(H30="","",IFERROR(INDEX(Codes!$B$2:$B$30,MATCH(H30,Codes!$A$2:$A$30,0)),""))</f>
        <v>Exclude: AI, simulation, or hardware only; no living neural substrate</v>
      </c>
      <c r="J30" s="3" t="s">
        <v>162</v>
      </c>
      <c r="K30" s="8"/>
      <c r="L30" s="9" t="str">
        <f aca="false">IF(K30="","",IF(K30=G30,"Y","N"))</f>
        <v/>
      </c>
    </row>
    <row r="31" customFormat="false" ht="23.85" hidden="false" customHeight="false" outlineLevel="0" collapsed="false">
      <c r="A31" s="3" t="n">
        <v>26</v>
      </c>
      <c r="B31" s="3" t="s">
        <v>163</v>
      </c>
      <c r="C31" s="3" t="s">
        <v>164</v>
      </c>
      <c r="D31" s="3" t="n">
        <v>2025</v>
      </c>
      <c r="E31" s="3" t="s">
        <v>70</v>
      </c>
      <c r="F31" s="3" t="s">
        <v>94</v>
      </c>
      <c r="G31" s="3" t="s">
        <v>102</v>
      </c>
      <c r="H31" s="3" t="s">
        <v>145</v>
      </c>
      <c r="I31" s="3" t="str">
        <f aca="false">IF(H31="","",IFERROR(INDEX(Codes!$B$2:$B$30,MATCH(H31,Codes!$A$2:$A$30,0)),""))</f>
        <v>Exclude: no computational, learning, or efficiency claim (disease modeling, tools, engineering, theory)</v>
      </c>
      <c r="J31" s="3" t="s">
        <v>165</v>
      </c>
      <c r="K31" s="8"/>
      <c r="L31" s="9" t="str">
        <f aca="false">IF(K31="","",IF(K31=G31,"Y","N"))</f>
        <v/>
      </c>
    </row>
    <row r="32" customFormat="false" ht="23.85" hidden="false" customHeight="false" outlineLevel="0" collapsed="false">
      <c r="A32" s="3" t="n">
        <v>27</v>
      </c>
      <c r="B32" s="3" t="s">
        <v>166</v>
      </c>
      <c r="C32" s="3" t="s">
        <v>167</v>
      </c>
      <c r="D32" s="3" t="n">
        <v>2026</v>
      </c>
      <c r="E32" s="3" t="s">
        <v>88</v>
      </c>
      <c r="F32" s="3" t="s">
        <v>94</v>
      </c>
      <c r="G32" s="3" t="s">
        <v>109</v>
      </c>
      <c r="H32" s="3" t="s">
        <v>110</v>
      </c>
      <c r="I32" s="3" t="str">
        <f aca="false">IF(H32="","",IFERROR(INDEX(Codes!$B$2:$B$30,MATCH(H32,Codes!$A$2:$A$30,0)),""))</f>
        <v>Maybe: borderline, needs second screener or full-text check</v>
      </c>
      <c r="J32" s="3" t="s">
        <v>168</v>
      </c>
      <c r="K32" s="8"/>
      <c r="L32" s="9" t="str">
        <f aca="false">IF(K32="","",IF(K32=G32,"Y","N"))</f>
        <v/>
      </c>
    </row>
    <row r="33" customFormat="false" ht="23.85" hidden="false" customHeight="false" outlineLevel="0" collapsed="false">
      <c r="A33" s="3" t="n">
        <v>28</v>
      </c>
      <c r="B33" s="3" t="s">
        <v>169</v>
      </c>
      <c r="C33" s="3" t="s">
        <v>170</v>
      </c>
      <c r="D33" s="3" t="n">
        <v>2026</v>
      </c>
      <c r="E33" s="3" t="s">
        <v>88</v>
      </c>
      <c r="F33" s="3" t="s">
        <v>94</v>
      </c>
      <c r="G33" s="3" t="s">
        <v>102</v>
      </c>
      <c r="H33" s="3" t="s">
        <v>145</v>
      </c>
      <c r="I33" s="3" t="str">
        <f aca="false">IF(H33="","",IFERROR(INDEX(Codes!$B$2:$B$30,MATCH(H33,Codes!$A$2:$A$30,0)),""))</f>
        <v>Exclude: no computational, learning, or efficiency claim (disease modeling, tools, engineering, theory)</v>
      </c>
      <c r="J33" s="3"/>
      <c r="K33" s="8"/>
      <c r="L33" s="9" t="str">
        <f aca="false">IF(K33="","",IF(K33=G33,"Y","N"))</f>
        <v/>
      </c>
    </row>
    <row r="34" customFormat="false" ht="23.85" hidden="false" customHeight="false" outlineLevel="0" collapsed="false">
      <c r="A34" s="3" t="n">
        <v>29</v>
      </c>
      <c r="B34" s="3" t="s">
        <v>171</v>
      </c>
      <c r="C34" s="3" t="s">
        <v>172</v>
      </c>
      <c r="D34" s="3" t="n">
        <v>2023</v>
      </c>
      <c r="E34" s="3" t="s">
        <v>121</v>
      </c>
      <c r="F34" s="3" t="s">
        <v>122</v>
      </c>
      <c r="G34" s="3" t="s">
        <v>102</v>
      </c>
      <c r="H34" s="3" t="s">
        <v>173</v>
      </c>
      <c r="I34" s="3" t="str">
        <f aca="false">IF(H34="","",IFERROR(INDEX(Codes!$B$2:$B$30,MATCH(H34,Codes!$A$2:$A$30,0)),""))</f>
        <v>Exclude: brain-organoid ethics not specific to computing / OI</v>
      </c>
      <c r="J34" s="3"/>
      <c r="K34" s="8"/>
      <c r="L34" s="9" t="str">
        <f aca="false">IF(K34="","",IF(K34=G34,"Y","N"))</f>
        <v/>
      </c>
    </row>
    <row r="35" customFormat="false" ht="15" hidden="false" customHeight="false" outlineLevel="0" collapsed="false">
      <c r="A35" s="3" t="n">
        <v>30</v>
      </c>
      <c r="B35" s="3" t="s">
        <v>174</v>
      </c>
      <c r="C35" s="3" t="s">
        <v>175</v>
      </c>
      <c r="D35" s="3" t="n">
        <v>2024</v>
      </c>
      <c r="E35" s="3" t="s">
        <v>88</v>
      </c>
      <c r="F35" s="3" t="s">
        <v>101</v>
      </c>
      <c r="G35" s="3" t="s">
        <v>109</v>
      </c>
      <c r="H35" s="3" t="s">
        <v>110</v>
      </c>
      <c r="I35" s="3" t="str">
        <f aca="false">IF(H35="","",IFERROR(INDEX(Codes!$B$2:$B$30,MATCH(H35,Codes!$A$2:$A$30,0)),""))</f>
        <v>Maybe: borderline, needs second screener or full-text check</v>
      </c>
      <c r="J35" s="3" t="s">
        <v>176</v>
      </c>
      <c r="K35" s="8"/>
      <c r="L35" s="9" t="str">
        <f aca="false">IF(K35="","",IF(K35=G35,"Y","N"))</f>
        <v/>
      </c>
    </row>
    <row r="36" customFormat="false" ht="23.85" hidden="false" customHeight="false" outlineLevel="0" collapsed="false">
      <c r="A36" s="3" t="n">
        <v>31</v>
      </c>
      <c r="B36" s="3" t="s">
        <v>177</v>
      </c>
      <c r="C36" s="3" t="s">
        <v>178</v>
      </c>
      <c r="D36" s="3" t="n">
        <v>2026</v>
      </c>
      <c r="E36" s="3" t="s">
        <v>88</v>
      </c>
      <c r="F36" s="3" t="s">
        <v>94</v>
      </c>
      <c r="G36" s="3" t="s">
        <v>102</v>
      </c>
      <c r="H36" s="3" t="s">
        <v>141</v>
      </c>
      <c r="I36" s="3" t="str">
        <f aca="false">IF(H36="","",IFERROR(INDEX(Codes!$B$2:$B$30,MATCH(H36,Codes!$A$2:$A$30,0)),""))</f>
        <v>Exclude: AI, simulation, or hardware only; no living neural substrate</v>
      </c>
      <c r="J36" s="3"/>
      <c r="K36" s="8"/>
      <c r="L36" s="9" t="str">
        <f aca="false">IF(K36="","",IF(K36=G36,"Y","N"))</f>
        <v/>
      </c>
    </row>
    <row r="37" customFormat="false" ht="15" hidden="false" customHeight="false" outlineLevel="0" collapsed="false">
      <c r="A37" s="3" t="n">
        <v>32</v>
      </c>
      <c r="B37" s="3" t="s">
        <v>179</v>
      </c>
      <c r="C37" s="3" t="s">
        <v>180</v>
      </c>
      <c r="D37" s="3" t="n">
        <v>2023</v>
      </c>
      <c r="E37" s="3" t="s">
        <v>121</v>
      </c>
      <c r="F37" s="3" t="s">
        <v>94</v>
      </c>
      <c r="G37" s="3" t="s">
        <v>102</v>
      </c>
      <c r="H37" s="3" t="s">
        <v>173</v>
      </c>
      <c r="I37" s="3" t="str">
        <f aca="false">IF(H37="","",IFERROR(INDEX(Codes!$B$2:$B$30,MATCH(H37,Codes!$A$2:$A$30,0)),""))</f>
        <v>Exclude: brain-organoid ethics not specific to computing / OI</v>
      </c>
      <c r="J37" s="3"/>
      <c r="K37" s="8"/>
      <c r="L37" s="9" t="str">
        <f aca="false">IF(K37="","",IF(K37=G37,"Y","N"))</f>
        <v/>
      </c>
    </row>
    <row r="38" customFormat="false" ht="23.85" hidden="false" customHeight="false" outlineLevel="0" collapsed="false">
      <c r="A38" s="3" t="n">
        <v>33</v>
      </c>
      <c r="B38" s="3" t="s">
        <v>181</v>
      </c>
      <c r="C38" s="3" t="s">
        <v>182</v>
      </c>
      <c r="D38" s="3" t="n">
        <v>2022</v>
      </c>
      <c r="E38" s="3" t="s">
        <v>70</v>
      </c>
      <c r="F38" s="3" t="s">
        <v>101</v>
      </c>
      <c r="G38" s="3" t="s">
        <v>102</v>
      </c>
      <c r="H38" s="3" t="s">
        <v>145</v>
      </c>
      <c r="I38" s="3" t="str">
        <f aca="false">IF(H38="","",IFERROR(INDEX(Codes!$B$2:$B$30,MATCH(H38,Codes!$A$2:$A$30,0)),""))</f>
        <v>Exclude: no computational, learning, or efficiency claim (disease modeling, tools, engineering, theory)</v>
      </c>
      <c r="J38" s="3" t="s">
        <v>183</v>
      </c>
      <c r="K38" s="8"/>
      <c r="L38" s="9" t="str">
        <f aca="false">IF(K38="","",IF(K38=G38,"Y","N"))</f>
        <v/>
      </c>
    </row>
    <row r="39" customFormat="false" ht="23.85" hidden="false" customHeight="false" outlineLevel="0" collapsed="false">
      <c r="A39" s="3" t="n">
        <v>34</v>
      </c>
      <c r="B39" s="3" t="s">
        <v>184</v>
      </c>
      <c r="C39" s="3" t="s">
        <v>185</v>
      </c>
      <c r="D39" s="3" t="n">
        <v>2024</v>
      </c>
      <c r="E39" s="3" t="s">
        <v>70</v>
      </c>
      <c r="F39" s="3" t="s">
        <v>94</v>
      </c>
      <c r="G39" s="3" t="s">
        <v>102</v>
      </c>
      <c r="H39" s="3" t="s">
        <v>103</v>
      </c>
      <c r="I39" s="3" t="str">
        <f aca="false">IF(H39="","",IFERROR(INDEX(Codes!$B$2:$B$30,MATCH(H39,Codes!$A$2:$A$30,0)),""))</f>
        <v>Exclude: duplicate or earlier version of an included record (version of record kept)</v>
      </c>
      <c r="J39" s="3" t="s">
        <v>186</v>
      </c>
      <c r="K39" s="8"/>
      <c r="L39" s="9" t="str">
        <f aca="false">IF(K39="","",IF(K39=G39,"Y","N"))</f>
        <v/>
      </c>
    </row>
    <row r="40" customFormat="false" ht="23.85" hidden="false" customHeight="false" outlineLevel="0" collapsed="false">
      <c r="A40" s="3" t="n">
        <v>35</v>
      </c>
      <c r="B40" s="3" t="s">
        <v>187</v>
      </c>
      <c r="C40" s="3" t="s">
        <v>188</v>
      </c>
      <c r="D40" s="3" t="n">
        <v>2026</v>
      </c>
      <c r="E40" s="3" t="s">
        <v>114</v>
      </c>
      <c r="F40" s="3" t="s">
        <v>101</v>
      </c>
      <c r="G40" s="3" t="s">
        <v>102</v>
      </c>
      <c r="H40" s="3" t="s">
        <v>145</v>
      </c>
      <c r="I40" s="3" t="str">
        <f aca="false">IF(H40="","",IFERROR(INDEX(Codes!$B$2:$B$30,MATCH(H40,Codes!$A$2:$A$30,0)),""))</f>
        <v>Exclude: no computational, learning, or efficiency claim (disease modeling, tools, engineering, theory)</v>
      </c>
      <c r="J40" s="3"/>
      <c r="K40" s="8"/>
      <c r="L40" s="9" t="str">
        <f aca="false">IF(K40="","",IF(K40=G40,"Y","N"))</f>
        <v/>
      </c>
    </row>
    <row r="41" customFormat="false" ht="15" hidden="false" customHeight="false" outlineLevel="0" collapsed="false">
      <c r="A41" s="3" t="n">
        <v>36</v>
      </c>
      <c r="B41" s="3" t="s">
        <v>189</v>
      </c>
      <c r="C41" s="3" t="s">
        <v>190</v>
      </c>
      <c r="D41" s="3" t="n">
        <v>2025</v>
      </c>
      <c r="E41" s="3" t="s">
        <v>140</v>
      </c>
      <c r="F41" s="3" t="s">
        <v>94</v>
      </c>
      <c r="G41" s="3" t="s">
        <v>102</v>
      </c>
      <c r="H41" s="3" t="s">
        <v>141</v>
      </c>
      <c r="I41" s="3" t="str">
        <f aca="false">IF(H41="","",IFERROR(INDEX(Codes!$B$2:$B$30,MATCH(H41,Codes!$A$2:$A$30,0)),""))</f>
        <v>Exclude: AI, simulation, or hardware only; no living neural substrate</v>
      </c>
      <c r="J41" s="3"/>
      <c r="K41" s="8"/>
      <c r="L41" s="9" t="str">
        <f aca="false">IF(K41="","",IF(K41=G41,"Y","N"))</f>
        <v/>
      </c>
    </row>
    <row r="42" customFormat="false" ht="23.85" hidden="false" customHeight="false" outlineLevel="0" collapsed="false">
      <c r="A42" s="3" t="n">
        <v>37</v>
      </c>
      <c r="B42" s="3" t="s">
        <v>191</v>
      </c>
      <c r="C42" s="3" t="s">
        <v>192</v>
      </c>
      <c r="D42" s="3" t="n">
        <v>2022</v>
      </c>
      <c r="E42" s="3" t="s">
        <v>193</v>
      </c>
      <c r="F42" s="3" t="s">
        <v>94</v>
      </c>
      <c r="G42" s="3" t="s">
        <v>102</v>
      </c>
      <c r="H42" s="3" t="s">
        <v>145</v>
      </c>
      <c r="I42" s="3" t="str">
        <f aca="false">IF(H42="","",IFERROR(INDEX(Codes!$B$2:$B$30,MATCH(H42,Codes!$A$2:$A$30,0)),""))</f>
        <v>Exclude: no computational, learning, or efficiency claim (disease modeling, tools, engineering, theory)</v>
      </c>
      <c r="J42" s="3"/>
      <c r="K42" s="8"/>
      <c r="L42" s="9" t="str">
        <f aca="false">IF(K42="","",IF(K42=G42,"Y","N"))</f>
        <v/>
      </c>
    </row>
    <row r="43" customFormat="false" ht="23.85" hidden="false" customHeight="false" outlineLevel="0" collapsed="false">
      <c r="A43" s="3" t="n">
        <v>38</v>
      </c>
      <c r="B43" s="3" t="s">
        <v>194</v>
      </c>
      <c r="C43" s="3" t="s">
        <v>195</v>
      </c>
      <c r="D43" s="3" t="n">
        <v>2025</v>
      </c>
      <c r="E43" s="3" t="s">
        <v>88</v>
      </c>
      <c r="F43" s="3" t="s">
        <v>101</v>
      </c>
      <c r="G43" s="3" t="s">
        <v>102</v>
      </c>
      <c r="H43" s="3" t="s">
        <v>145</v>
      </c>
      <c r="I43" s="3" t="str">
        <f aca="false">IF(H43="","",IFERROR(INDEX(Codes!$B$2:$B$30,MATCH(H43,Codes!$A$2:$A$30,0)),""))</f>
        <v>Exclude: no computational, learning, or efficiency claim (disease modeling, tools, engineering, theory)</v>
      </c>
      <c r="J43" s="3"/>
      <c r="K43" s="8"/>
      <c r="L43" s="9" t="str">
        <f aca="false">IF(K43="","",IF(K43=G43,"Y","N"))</f>
        <v/>
      </c>
    </row>
    <row r="44" customFormat="false" ht="23.85" hidden="false" customHeight="false" outlineLevel="0" collapsed="false">
      <c r="A44" s="3" t="n">
        <v>39</v>
      </c>
      <c r="B44" s="3" t="s">
        <v>196</v>
      </c>
      <c r="C44" s="3" t="s">
        <v>197</v>
      </c>
      <c r="D44" s="3" t="n">
        <v>2026</v>
      </c>
      <c r="E44" s="3" t="s">
        <v>88</v>
      </c>
      <c r="F44" s="3" t="s">
        <v>101</v>
      </c>
      <c r="G44" s="3" t="s">
        <v>102</v>
      </c>
      <c r="H44" s="3" t="s">
        <v>130</v>
      </c>
      <c r="I44" s="3" t="str">
        <f aca="false">IF(H44="","",IFERROR(INDEX(Codes!$B$2:$B$30,MATCH(H44,Codes!$A$2:$A$30,0)),""))</f>
        <v>Exclude: mentions OI only in passing</v>
      </c>
      <c r="J44" s="3"/>
      <c r="K44" s="8"/>
      <c r="L44" s="9" t="str">
        <f aca="false">IF(K44="","",IF(K44=G44,"Y","N"))</f>
        <v/>
      </c>
    </row>
    <row r="45" customFormat="false" ht="23.85" hidden="false" customHeight="false" outlineLevel="0" collapsed="false">
      <c r="A45" s="3" t="n">
        <v>40</v>
      </c>
      <c r="B45" s="3" t="s">
        <v>198</v>
      </c>
      <c r="C45" s="3" t="s">
        <v>199</v>
      </c>
      <c r="D45" s="3" t="n">
        <v>2026</v>
      </c>
      <c r="E45" s="3" t="s">
        <v>88</v>
      </c>
      <c r="F45" s="3" t="s">
        <v>94</v>
      </c>
      <c r="G45" s="3" t="s">
        <v>102</v>
      </c>
      <c r="H45" s="3" t="s">
        <v>145</v>
      </c>
      <c r="I45" s="3" t="str">
        <f aca="false">IF(H45="","",IFERROR(INDEX(Codes!$B$2:$B$30,MATCH(H45,Codes!$A$2:$A$30,0)),""))</f>
        <v>Exclude: no computational, learning, or efficiency claim (disease modeling, tools, engineering, theory)</v>
      </c>
      <c r="J45" s="3"/>
      <c r="K45" s="8"/>
      <c r="L45" s="9" t="str">
        <f aca="false">IF(K45="","",IF(K45=G45,"Y","N"))</f>
        <v/>
      </c>
    </row>
    <row r="46" customFormat="false" ht="23.85" hidden="false" customHeight="false" outlineLevel="0" collapsed="false">
      <c r="A46" s="3" t="n">
        <v>41</v>
      </c>
      <c r="B46" s="3" t="s">
        <v>200</v>
      </c>
      <c r="C46" s="3" t="s">
        <v>201</v>
      </c>
      <c r="D46" s="3" t="n">
        <v>2025</v>
      </c>
      <c r="E46" s="3" t="s">
        <v>70</v>
      </c>
      <c r="F46" s="3" t="s">
        <v>101</v>
      </c>
      <c r="G46" s="3" t="s">
        <v>72</v>
      </c>
      <c r="H46" s="3" t="s">
        <v>73</v>
      </c>
      <c r="I46" s="3" t="str">
        <f aca="false">IF(H46="","",IFERROR(INDEX(Codes!$B$2:$B$30,MATCH(H46,Codes!$A$2:$A$30,0)),""))</f>
        <v>Include: empirical paper with a computational, learning, or efficiency claim about living neural tissue as a substrate</v>
      </c>
      <c r="J46" s="3"/>
      <c r="K46" s="8"/>
      <c r="L46" s="9" t="str">
        <f aca="false">IF(K46="","",IF(K46=G46,"Y","N"))</f>
        <v/>
      </c>
    </row>
    <row r="47" customFormat="false" ht="23.85" hidden="false" customHeight="false" outlineLevel="0" collapsed="false">
      <c r="A47" s="3" t="n">
        <v>42</v>
      </c>
      <c r="B47" s="3" t="s">
        <v>202</v>
      </c>
      <c r="C47" s="3" t="s">
        <v>203</v>
      </c>
      <c r="D47" s="3" t="n">
        <v>2026</v>
      </c>
      <c r="E47" s="3" t="s">
        <v>88</v>
      </c>
      <c r="F47" s="3" t="s">
        <v>94</v>
      </c>
      <c r="G47" s="3" t="s">
        <v>102</v>
      </c>
      <c r="H47" s="3" t="s">
        <v>145</v>
      </c>
      <c r="I47" s="3" t="str">
        <f aca="false">IF(H47="","",IFERROR(INDEX(Codes!$B$2:$B$30,MATCH(H47,Codes!$A$2:$A$30,0)),""))</f>
        <v>Exclude: no computational, learning, or efficiency claim (disease modeling, tools, engineering, theory)</v>
      </c>
      <c r="J47" s="3"/>
      <c r="K47" s="8"/>
      <c r="L47" s="9" t="str">
        <f aca="false">IF(K47="","",IF(K47=G47,"Y","N"))</f>
        <v/>
      </c>
    </row>
    <row r="48" customFormat="false" ht="23.85" hidden="false" customHeight="false" outlineLevel="0" collapsed="false">
      <c r="A48" s="3" t="n">
        <v>43</v>
      </c>
      <c r="B48" s="3" t="s">
        <v>204</v>
      </c>
      <c r="C48" s="3" t="s">
        <v>205</v>
      </c>
      <c r="D48" s="3" t="n">
        <v>2025</v>
      </c>
      <c r="E48" s="3" t="s">
        <v>70</v>
      </c>
      <c r="F48" s="3" t="s">
        <v>101</v>
      </c>
      <c r="G48" s="3" t="s">
        <v>72</v>
      </c>
      <c r="H48" s="3" t="s">
        <v>73</v>
      </c>
      <c r="I48" s="3" t="str">
        <f aca="false">IF(H48="","",IFERROR(INDEX(Codes!$B$2:$B$30,MATCH(H48,Codes!$A$2:$A$30,0)),""))</f>
        <v>Include: empirical paper with a computational, learning, or efficiency claim about living neural tissue as a substrate</v>
      </c>
      <c r="J48" s="3"/>
      <c r="K48" s="8"/>
      <c r="L48" s="9" t="str">
        <f aca="false">IF(K48="","",IF(K48=G48,"Y","N"))</f>
        <v/>
      </c>
    </row>
    <row r="49" customFormat="false" ht="23.85" hidden="false" customHeight="false" outlineLevel="0" collapsed="false">
      <c r="A49" s="3" t="n">
        <v>44</v>
      </c>
      <c r="B49" s="3" t="s">
        <v>206</v>
      </c>
      <c r="C49" s="3" t="s">
        <v>207</v>
      </c>
      <c r="D49" s="3" t="n">
        <v>2025</v>
      </c>
      <c r="E49" s="3" t="s">
        <v>134</v>
      </c>
      <c r="F49" s="3" t="s">
        <v>94</v>
      </c>
      <c r="G49" s="3" t="s">
        <v>123</v>
      </c>
      <c r="H49" s="3" t="s">
        <v>136</v>
      </c>
      <c r="I49" s="3" t="str">
        <f aca="false">IF(H49="","",IFERROR(INDEX(Codes!$B$2:$B$30,MATCH(H49,Codes!$A$2:$A$30,0)),""))</f>
        <v>Context: commentary, editorial, or press coverage (not scored; used to trace how claims propagate)</v>
      </c>
      <c r="J49" s="3" t="s">
        <v>208</v>
      </c>
      <c r="K49" s="8"/>
      <c r="L49" s="9" t="str">
        <f aca="false">IF(K49="","",IF(K49=G49,"Y","N"))</f>
        <v/>
      </c>
    </row>
    <row r="50" customFormat="false" ht="23.85" hidden="false" customHeight="false" outlineLevel="0" collapsed="false">
      <c r="A50" s="3" t="n">
        <v>45</v>
      </c>
      <c r="B50" s="3" t="s">
        <v>209</v>
      </c>
      <c r="C50" s="3" t="s">
        <v>210</v>
      </c>
      <c r="D50" s="3" t="n">
        <v>2023</v>
      </c>
      <c r="E50" s="3" t="s">
        <v>134</v>
      </c>
      <c r="F50" s="3" t="s">
        <v>94</v>
      </c>
      <c r="G50" s="3" t="s">
        <v>123</v>
      </c>
      <c r="H50" s="3" t="s">
        <v>136</v>
      </c>
      <c r="I50" s="3" t="str">
        <f aca="false">IF(H50="","",IFERROR(INDEX(Codes!$B$2:$B$30,MATCH(H50,Codes!$A$2:$A$30,0)),""))</f>
        <v>Context: commentary, editorial, or press coverage (not scored; used to trace how claims propagate)</v>
      </c>
      <c r="J50" s="3" t="s">
        <v>211</v>
      </c>
      <c r="K50" s="8"/>
      <c r="L50" s="9" t="str">
        <f aca="false">IF(K50="","",IF(K50=G50,"Y","N"))</f>
        <v/>
      </c>
    </row>
    <row r="51" customFormat="false" ht="23.85" hidden="false" customHeight="false" outlineLevel="0" collapsed="false">
      <c r="A51" s="3" t="n">
        <v>46</v>
      </c>
      <c r="B51" s="3" t="s">
        <v>212</v>
      </c>
      <c r="C51" s="3" t="s">
        <v>213</v>
      </c>
      <c r="D51" s="3" t="n">
        <v>2026</v>
      </c>
      <c r="E51" s="3" t="s">
        <v>70</v>
      </c>
      <c r="F51" s="3" t="s">
        <v>214</v>
      </c>
      <c r="G51" s="3" t="s">
        <v>72</v>
      </c>
      <c r="H51" s="3" t="s">
        <v>73</v>
      </c>
      <c r="I51" s="3" t="str">
        <f aca="false">IF(H51="","",IFERROR(INDEX(Codes!$B$2:$B$30,MATCH(H51,Codes!$A$2:$A$30,0)),""))</f>
        <v>Include: empirical paper with a computational, learning, or efficiency claim about living neural tissue as a substrate</v>
      </c>
      <c r="J51" s="3" t="s">
        <v>118</v>
      </c>
      <c r="K51" s="8"/>
      <c r="L51" s="9" t="str">
        <f aca="false">IF(K51="","",IF(K51=G51,"Y","N"))</f>
        <v/>
      </c>
    </row>
    <row r="52" customFormat="false" ht="23.85" hidden="false" customHeight="false" outlineLevel="0" collapsed="false">
      <c r="A52" s="3" t="n">
        <v>47</v>
      </c>
      <c r="B52" s="3" t="s">
        <v>215</v>
      </c>
      <c r="C52" s="3" t="s">
        <v>216</v>
      </c>
      <c r="D52" s="3" t="n">
        <v>2026</v>
      </c>
      <c r="E52" s="3" t="s">
        <v>70</v>
      </c>
      <c r="F52" s="3" t="s">
        <v>214</v>
      </c>
      <c r="G52" s="3" t="s">
        <v>72</v>
      </c>
      <c r="H52" s="3" t="s">
        <v>73</v>
      </c>
      <c r="I52" s="3" t="str">
        <f aca="false">IF(H52="","",IFERROR(INDEX(Codes!$B$2:$B$30,MATCH(H52,Codes!$A$2:$A$30,0)),""))</f>
        <v>Include: empirical paper with a computational, learning, or efficiency claim about living neural tissue as a substrate</v>
      </c>
      <c r="J52" s="3" t="s">
        <v>118</v>
      </c>
      <c r="K52" s="8"/>
      <c r="L52" s="9" t="str">
        <f aca="false">IF(K52="","",IF(K52=G52,"Y","N"))</f>
        <v/>
      </c>
    </row>
    <row r="53" customFormat="false" ht="23.85" hidden="false" customHeight="false" outlineLevel="0" collapsed="false">
      <c r="A53" s="3" t="n">
        <v>48</v>
      </c>
      <c r="B53" s="3" t="s">
        <v>217</v>
      </c>
      <c r="C53" s="3" t="s">
        <v>218</v>
      </c>
      <c r="D53" s="3" t="n">
        <v>2025</v>
      </c>
      <c r="E53" s="3" t="s">
        <v>70</v>
      </c>
      <c r="F53" s="3" t="s">
        <v>214</v>
      </c>
      <c r="G53" s="3" t="s">
        <v>72</v>
      </c>
      <c r="H53" s="3" t="s">
        <v>73</v>
      </c>
      <c r="I53" s="3" t="str">
        <f aca="false">IF(H53="","",IFERROR(INDEX(Codes!$B$2:$B$30,MATCH(H53,Codes!$A$2:$A$30,0)),""))</f>
        <v>Include: empirical paper with a computational, learning, or efficiency claim about living neural tissue as a substrate</v>
      </c>
      <c r="J53" s="3" t="s">
        <v>118</v>
      </c>
      <c r="K53" s="8"/>
      <c r="L53" s="9" t="str">
        <f aca="false">IF(K53="","",IF(K53=G53,"Y","N"))</f>
        <v/>
      </c>
    </row>
    <row r="54" customFormat="false" ht="23.85" hidden="false" customHeight="false" outlineLevel="0" collapsed="false">
      <c r="A54" s="3" t="n">
        <v>49</v>
      </c>
      <c r="B54" s="3" t="s">
        <v>219</v>
      </c>
      <c r="C54" s="3" t="s">
        <v>220</v>
      </c>
      <c r="D54" s="3" t="n">
        <v>2026</v>
      </c>
      <c r="E54" s="3" t="s">
        <v>70</v>
      </c>
      <c r="F54" s="3" t="s">
        <v>214</v>
      </c>
      <c r="G54" s="3" t="s">
        <v>72</v>
      </c>
      <c r="H54" s="3" t="s">
        <v>73</v>
      </c>
      <c r="I54" s="3" t="str">
        <f aca="false">IF(H54="","",IFERROR(INDEX(Codes!$B$2:$B$30,MATCH(H54,Codes!$A$2:$A$30,0)),""))</f>
        <v>Include: empirical paper with a computational, learning, or efficiency claim about living neural tissue as a substrate</v>
      </c>
      <c r="J54" s="3" t="s">
        <v>221</v>
      </c>
      <c r="K54" s="8"/>
      <c r="L54" s="9" t="str">
        <f aca="false">IF(K54="","",IF(K54=G54,"Y","N"))</f>
        <v/>
      </c>
    </row>
    <row r="55" customFormat="false" ht="23.85" hidden="false" customHeight="false" outlineLevel="0" collapsed="false">
      <c r="A55" s="3" t="n">
        <v>50</v>
      </c>
      <c r="B55" s="3" t="s">
        <v>222</v>
      </c>
      <c r="C55" s="3" t="s">
        <v>223</v>
      </c>
      <c r="D55" s="3" t="n">
        <v>2025</v>
      </c>
      <c r="E55" s="3" t="s">
        <v>70</v>
      </c>
      <c r="F55" s="3" t="s">
        <v>214</v>
      </c>
      <c r="G55" s="3" t="s">
        <v>72</v>
      </c>
      <c r="H55" s="3" t="s">
        <v>73</v>
      </c>
      <c r="I55" s="3" t="str">
        <f aca="false">IF(H55="","",IFERROR(INDEX(Codes!$B$2:$B$30,MATCH(H55,Codes!$A$2:$A$30,0)),""))</f>
        <v>Include: empirical paper with a computational, learning, or efficiency claim about living neural tissue as a substrate</v>
      </c>
      <c r="J55" s="3" t="s">
        <v>118</v>
      </c>
      <c r="K55" s="8"/>
      <c r="L55" s="9" t="str">
        <f aca="false">IF(K55="","",IF(K55=G55,"Y","N"))</f>
        <v/>
      </c>
    </row>
    <row r="56" customFormat="false" ht="23.85" hidden="false" customHeight="false" outlineLevel="0" collapsed="false">
      <c r="A56" s="3" t="n">
        <v>51</v>
      </c>
      <c r="B56" s="3" t="s">
        <v>224</v>
      </c>
      <c r="C56" s="3" t="s">
        <v>225</v>
      </c>
      <c r="D56" s="3" t="n">
        <v>2026</v>
      </c>
      <c r="E56" s="3" t="s">
        <v>70</v>
      </c>
      <c r="F56" s="3" t="s">
        <v>214</v>
      </c>
      <c r="G56" s="3" t="s">
        <v>72</v>
      </c>
      <c r="H56" s="3" t="s">
        <v>73</v>
      </c>
      <c r="I56" s="3" t="str">
        <f aca="false">IF(H56="","",IFERROR(INDEX(Codes!$B$2:$B$30,MATCH(H56,Codes!$A$2:$A$30,0)),""))</f>
        <v>Include: empirical paper with a computational, learning, or efficiency claim about living neural tissue as a substrate</v>
      </c>
      <c r="J56" s="3" t="s">
        <v>118</v>
      </c>
      <c r="K56" s="8"/>
      <c r="L56" s="9" t="str">
        <f aca="false">IF(K56="","",IF(K56=G56,"Y","N"))</f>
        <v/>
      </c>
    </row>
    <row r="57" customFormat="false" ht="23.85" hidden="false" customHeight="false" outlineLevel="0" collapsed="false">
      <c r="A57" s="3" t="n">
        <v>52</v>
      </c>
      <c r="B57" s="3" t="s">
        <v>226</v>
      </c>
      <c r="C57" s="3" t="s">
        <v>227</v>
      </c>
      <c r="D57" s="3" t="n">
        <v>2025</v>
      </c>
      <c r="E57" s="3" t="s">
        <v>70</v>
      </c>
      <c r="F57" s="3" t="s">
        <v>214</v>
      </c>
      <c r="G57" s="3" t="s">
        <v>72</v>
      </c>
      <c r="H57" s="3" t="s">
        <v>73</v>
      </c>
      <c r="I57" s="3" t="str">
        <f aca="false">IF(H57="","",IFERROR(INDEX(Codes!$B$2:$B$30,MATCH(H57,Codes!$A$2:$A$30,0)),""))</f>
        <v>Include: empirical paper with a computational, learning, or efficiency claim about living neural tissue as a substrate</v>
      </c>
      <c r="J57" s="3" t="s">
        <v>118</v>
      </c>
      <c r="K57" s="8"/>
      <c r="L57" s="9" t="str">
        <f aca="false">IF(K57="","",IF(K57=G57,"Y","N"))</f>
        <v/>
      </c>
    </row>
    <row r="58" customFormat="false" ht="23.85" hidden="false" customHeight="false" outlineLevel="0" collapsed="false">
      <c r="A58" s="3" t="n">
        <v>53</v>
      </c>
      <c r="B58" s="3" t="s">
        <v>228</v>
      </c>
      <c r="C58" s="3" t="s">
        <v>229</v>
      </c>
      <c r="D58" s="3" t="n">
        <v>2026</v>
      </c>
      <c r="E58" s="3" t="s">
        <v>88</v>
      </c>
      <c r="F58" s="3" t="s">
        <v>214</v>
      </c>
      <c r="G58" s="3" t="s">
        <v>102</v>
      </c>
      <c r="H58" s="3" t="s">
        <v>141</v>
      </c>
      <c r="I58" s="3" t="str">
        <f aca="false">IF(H58="","",IFERROR(INDEX(Codes!$B$2:$B$30,MATCH(H58,Codes!$A$2:$A$30,0)),""))</f>
        <v>Exclude: AI, simulation, or hardware only; no living neural substrate</v>
      </c>
      <c r="J58" s="3" t="s">
        <v>230</v>
      </c>
      <c r="K58" s="8"/>
      <c r="L58" s="9" t="str">
        <f aca="false">IF(K58="","",IF(K58=G58,"Y","N"))</f>
        <v/>
      </c>
    </row>
    <row r="59" customFormat="false" ht="23.85" hidden="false" customHeight="false" outlineLevel="0" collapsed="false">
      <c r="A59" s="3" t="n">
        <v>54</v>
      </c>
      <c r="B59" s="3" t="s">
        <v>231</v>
      </c>
      <c r="C59" s="3" t="s">
        <v>232</v>
      </c>
      <c r="D59" s="3" t="n">
        <v>2026</v>
      </c>
      <c r="E59" s="3" t="s">
        <v>70</v>
      </c>
      <c r="F59" s="3" t="s">
        <v>214</v>
      </c>
      <c r="G59" s="3" t="s">
        <v>102</v>
      </c>
      <c r="H59" s="3" t="s">
        <v>145</v>
      </c>
      <c r="I59" s="3" t="str">
        <f aca="false">IF(H59="","",IFERROR(INDEX(Codes!$B$2:$B$30,MATCH(H59,Codes!$A$2:$A$30,0)),""))</f>
        <v>Exclude: no computational, learning, or efficiency claim (disease modeling, tools, engineering, theory)</v>
      </c>
      <c r="J59" s="3" t="s">
        <v>233</v>
      </c>
      <c r="K59" s="8"/>
      <c r="L59" s="9" t="str">
        <f aca="false">IF(K59="","",IF(K59=G59,"Y","N"))</f>
        <v/>
      </c>
    </row>
    <row r="60" customFormat="false" ht="23.85" hidden="false" customHeight="false" outlineLevel="0" collapsed="false">
      <c r="A60" s="3" t="n">
        <v>55</v>
      </c>
      <c r="B60" s="3" t="s">
        <v>234</v>
      </c>
      <c r="C60" s="3" t="s">
        <v>235</v>
      </c>
      <c r="D60" s="3" t="n">
        <v>2025</v>
      </c>
      <c r="E60" s="3" t="s">
        <v>70</v>
      </c>
      <c r="F60" s="3" t="s">
        <v>236</v>
      </c>
      <c r="G60" s="3" t="s">
        <v>72</v>
      </c>
      <c r="H60" s="3" t="s">
        <v>73</v>
      </c>
      <c r="I60" s="3" t="str">
        <f aca="false">IF(H60="","",IFERROR(INDEX(Codes!$B$2:$B$30,MATCH(H60,Codes!$A$2:$A$30,0)),""))</f>
        <v>Include: empirical paper with a computational, learning, or efficiency claim about living neural tissue as a substrate</v>
      </c>
      <c r="J60" s="3" t="s">
        <v>118</v>
      </c>
      <c r="K60" s="8"/>
      <c r="L60" s="9" t="str">
        <f aca="false">IF(K60="","",IF(K60=G60,"Y","N"))</f>
        <v/>
      </c>
    </row>
    <row r="61" customFormat="false" ht="23.85" hidden="false" customHeight="false" outlineLevel="0" collapsed="false">
      <c r="A61" s="3" t="n">
        <v>56</v>
      </c>
      <c r="B61" s="3" t="s">
        <v>237</v>
      </c>
      <c r="C61" s="3" t="s">
        <v>238</v>
      </c>
      <c r="D61" s="3" t="n">
        <v>2025</v>
      </c>
      <c r="E61" s="3" t="s">
        <v>114</v>
      </c>
      <c r="F61" s="3" t="s">
        <v>214</v>
      </c>
      <c r="G61" s="3" t="s">
        <v>102</v>
      </c>
      <c r="H61" s="3" t="s">
        <v>145</v>
      </c>
      <c r="I61" s="3" t="str">
        <f aca="false">IF(H61="","",IFERROR(INDEX(Codes!$B$2:$B$30,MATCH(H61,Codes!$A$2:$A$30,0)),""))</f>
        <v>Exclude: no computational, learning, or efficiency claim (disease modeling, tools, engineering, theory)</v>
      </c>
      <c r="J61" s="3"/>
      <c r="K61" s="8"/>
      <c r="L61" s="9" t="str">
        <f aca="false">IF(K61="","",IF(K61=G61,"Y","N"))</f>
        <v/>
      </c>
    </row>
    <row r="62" customFormat="false" ht="23.85" hidden="false" customHeight="false" outlineLevel="0" collapsed="false">
      <c r="A62" s="3" t="n">
        <v>57</v>
      </c>
      <c r="B62" s="3" t="s">
        <v>239</v>
      </c>
      <c r="C62" s="3" t="s">
        <v>240</v>
      </c>
      <c r="D62" s="3" t="n">
        <v>2026</v>
      </c>
      <c r="E62" s="3" t="s">
        <v>70</v>
      </c>
      <c r="F62" s="3" t="s">
        <v>214</v>
      </c>
      <c r="G62" s="3" t="s">
        <v>72</v>
      </c>
      <c r="H62" s="3" t="s">
        <v>73</v>
      </c>
      <c r="I62" s="3" t="str">
        <f aca="false">IF(H62="","",IFERROR(INDEX(Codes!$B$2:$B$30,MATCH(H62,Codes!$A$2:$A$30,0)),""))</f>
        <v>Include: empirical paper with a computational, learning, or efficiency claim about living neural tissue as a substrate</v>
      </c>
      <c r="J62" s="3" t="s">
        <v>241</v>
      </c>
      <c r="K62" s="8"/>
      <c r="L62" s="9" t="str">
        <f aca="false">IF(K62="","",IF(K62=G62,"Y","N"))</f>
        <v/>
      </c>
    </row>
    <row r="63" customFormat="false" ht="23.85" hidden="false" customHeight="false" outlineLevel="0" collapsed="false">
      <c r="A63" s="3" t="n">
        <v>58</v>
      </c>
      <c r="B63" s="3" t="s">
        <v>242</v>
      </c>
      <c r="C63" s="3" t="s">
        <v>243</v>
      </c>
      <c r="D63" s="3" t="n">
        <v>2025</v>
      </c>
      <c r="E63" s="3" t="s">
        <v>114</v>
      </c>
      <c r="F63" s="3" t="s">
        <v>214</v>
      </c>
      <c r="G63" s="3" t="s">
        <v>102</v>
      </c>
      <c r="H63" s="3" t="s">
        <v>145</v>
      </c>
      <c r="I63" s="3" t="str">
        <f aca="false">IF(H63="","",IFERROR(INDEX(Codes!$B$2:$B$30,MATCH(H63,Codes!$A$2:$A$30,0)),""))</f>
        <v>Exclude: no computational, learning, or efficiency claim (disease modeling, tools, engineering, theory)</v>
      </c>
      <c r="J63" s="3"/>
      <c r="K63" s="8"/>
      <c r="L63" s="9" t="str">
        <f aca="false">IF(K63="","",IF(K63=G63,"Y","N"))</f>
        <v/>
      </c>
    </row>
    <row r="64" customFormat="false" ht="15" hidden="false" customHeight="false" outlineLevel="0" collapsed="false">
      <c r="A64" s="3" t="n">
        <v>59</v>
      </c>
      <c r="B64" s="3" t="s">
        <v>244</v>
      </c>
      <c r="C64" s="3" t="s">
        <v>245</v>
      </c>
      <c r="D64" s="3" t="n">
        <v>2023</v>
      </c>
      <c r="E64" s="3" t="s">
        <v>140</v>
      </c>
      <c r="F64" s="3" t="s">
        <v>214</v>
      </c>
      <c r="G64" s="3" t="s">
        <v>102</v>
      </c>
      <c r="H64" s="3" t="s">
        <v>141</v>
      </c>
      <c r="I64" s="3" t="str">
        <f aca="false">IF(H64="","",IFERROR(INDEX(Codes!$B$2:$B$30,MATCH(H64,Codes!$A$2:$A$30,0)),""))</f>
        <v>Exclude: AI, simulation, or hardware only; no living neural substrate</v>
      </c>
      <c r="J64" s="3" t="s">
        <v>246</v>
      </c>
      <c r="K64" s="8"/>
      <c r="L64" s="9" t="str">
        <f aca="false">IF(K64="","",IF(K64=G64,"Y","N"))</f>
        <v/>
      </c>
    </row>
    <row r="65" customFormat="false" ht="23.85" hidden="false" customHeight="false" outlineLevel="0" collapsed="false">
      <c r="A65" s="3" t="n">
        <v>60</v>
      </c>
      <c r="B65" s="3" t="s">
        <v>247</v>
      </c>
      <c r="C65" s="3" t="s">
        <v>248</v>
      </c>
      <c r="D65" s="3"/>
      <c r="E65" s="3" t="s">
        <v>114</v>
      </c>
      <c r="F65" s="3" t="s">
        <v>214</v>
      </c>
      <c r="G65" s="3" t="s">
        <v>102</v>
      </c>
      <c r="H65" s="3" t="s">
        <v>145</v>
      </c>
      <c r="I65" s="3" t="str">
        <f aca="false">IF(H65="","",IFERROR(INDEX(Codes!$B$2:$B$30,MATCH(H65,Codes!$A$2:$A$30,0)),""))</f>
        <v>Exclude: no computational, learning, or efficiency claim (disease modeling, tools, engineering, theory)</v>
      </c>
      <c r="J65" s="3"/>
      <c r="K65" s="8"/>
      <c r="L65" s="9" t="str">
        <f aca="false">IF(K65="","",IF(K65=G65,"Y","N"))</f>
        <v/>
      </c>
    </row>
    <row r="66" customFormat="false" ht="23.85" hidden="false" customHeight="false" outlineLevel="0" collapsed="false">
      <c r="A66" s="3" t="n">
        <v>61</v>
      </c>
      <c r="B66" s="3" t="s">
        <v>249</v>
      </c>
      <c r="C66" s="3" t="s">
        <v>250</v>
      </c>
      <c r="D66" s="3" t="n">
        <v>2026</v>
      </c>
      <c r="E66" s="3" t="s">
        <v>114</v>
      </c>
      <c r="F66" s="3" t="s">
        <v>214</v>
      </c>
      <c r="G66" s="3" t="s">
        <v>102</v>
      </c>
      <c r="H66" s="3" t="s">
        <v>145</v>
      </c>
      <c r="I66" s="3" t="str">
        <f aca="false">IF(H66="","",IFERROR(INDEX(Codes!$B$2:$B$30,MATCH(H66,Codes!$A$2:$A$30,0)),""))</f>
        <v>Exclude: no computational, learning, or efficiency claim (disease modeling, tools, engineering, theory)</v>
      </c>
      <c r="J66" s="3"/>
      <c r="K66" s="8"/>
      <c r="L66" s="9" t="str">
        <f aca="false">IF(K66="","",IF(K66=G66,"Y","N"))</f>
        <v/>
      </c>
    </row>
    <row r="67" customFormat="false" ht="23.85" hidden="false" customHeight="false" outlineLevel="0" collapsed="false">
      <c r="A67" s="3" t="n">
        <v>62</v>
      </c>
      <c r="B67" s="3" t="s">
        <v>251</v>
      </c>
      <c r="C67" s="3" t="s">
        <v>252</v>
      </c>
      <c r="D67" s="3" t="n">
        <v>2023</v>
      </c>
      <c r="E67" s="3" t="s">
        <v>70</v>
      </c>
      <c r="F67" s="3" t="s">
        <v>214</v>
      </c>
      <c r="G67" s="3" t="s">
        <v>72</v>
      </c>
      <c r="H67" s="3" t="s">
        <v>73</v>
      </c>
      <c r="I67" s="3" t="str">
        <f aca="false">IF(H67="","",IFERROR(INDEX(Codes!$B$2:$B$30,MATCH(H67,Codes!$A$2:$A$30,0)),""))</f>
        <v>Include: empirical paper with a computational, learning, or efficiency claim about living neural tissue as a substrate</v>
      </c>
      <c r="J67" s="3"/>
      <c r="K67" s="8"/>
      <c r="L67" s="9" t="str">
        <f aca="false">IF(K67="","",IF(K67=G67,"Y","N"))</f>
        <v/>
      </c>
    </row>
    <row r="68" customFormat="false" ht="23.85" hidden="false" customHeight="false" outlineLevel="0" collapsed="false">
      <c r="A68" s="3" t="n">
        <v>63</v>
      </c>
      <c r="B68" s="3" t="s">
        <v>253</v>
      </c>
      <c r="C68" s="3" t="s">
        <v>254</v>
      </c>
      <c r="D68" s="3" t="n">
        <v>2022</v>
      </c>
      <c r="E68" s="3" t="s">
        <v>114</v>
      </c>
      <c r="F68" s="3" t="s">
        <v>214</v>
      </c>
      <c r="G68" s="3" t="s">
        <v>102</v>
      </c>
      <c r="H68" s="3" t="s">
        <v>145</v>
      </c>
      <c r="I68" s="3" t="str">
        <f aca="false">IF(H68="","",IFERROR(INDEX(Codes!$B$2:$B$30,MATCH(H68,Codes!$A$2:$A$30,0)),""))</f>
        <v>Exclude: no computational, learning, or efficiency claim (disease modeling, tools, engineering, theory)</v>
      </c>
      <c r="J68" s="3"/>
      <c r="K68" s="8"/>
      <c r="L68" s="9" t="str">
        <f aca="false">IF(K68="","",IF(K68=G68,"Y","N"))</f>
        <v/>
      </c>
    </row>
    <row r="69" customFormat="false" ht="23.85" hidden="false" customHeight="false" outlineLevel="0" collapsed="false">
      <c r="A69" s="3" t="n">
        <v>64</v>
      </c>
      <c r="B69" s="3" t="s">
        <v>255</v>
      </c>
      <c r="C69" s="3" t="s">
        <v>256</v>
      </c>
      <c r="D69" s="3" t="n">
        <v>2022</v>
      </c>
      <c r="E69" s="3" t="s">
        <v>114</v>
      </c>
      <c r="F69" s="3" t="s">
        <v>214</v>
      </c>
      <c r="G69" s="3" t="s">
        <v>102</v>
      </c>
      <c r="H69" s="3" t="s">
        <v>145</v>
      </c>
      <c r="I69" s="3" t="str">
        <f aca="false">IF(H69="","",IFERROR(INDEX(Codes!$B$2:$B$30,MATCH(H69,Codes!$A$2:$A$30,0)),""))</f>
        <v>Exclude: no computational, learning, or efficiency claim (disease modeling, tools, engineering, theory)</v>
      </c>
      <c r="J69" s="3"/>
      <c r="K69" s="8"/>
      <c r="L69" s="9" t="str">
        <f aca="false">IF(K69="","",IF(K69=G69,"Y","N"))</f>
        <v/>
      </c>
    </row>
    <row r="70" customFormat="false" ht="23.85" hidden="false" customHeight="false" outlineLevel="0" collapsed="false">
      <c r="A70" s="3" t="n">
        <v>65</v>
      </c>
      <c r="B70" s="3" t="s">
        <v>257</v>
      </c>
      <c r="C70" s="3" t="s">
        <v>258</v>
      </c>
      <c r="D70" s="3" t="n">
        <v>2022</v>
      </c>
      <c r="E70" s="3" t="s">
        <v>70</v>
      </c>
      <c r="F70" s="3" t="s">
        <v>214</v>
      </c>
      <c r="G70" s="3" t="s">
        <v>102</v>
      </c>
      <c r="H70" s="3" t="s">
        <v>103</v>
      </c>
      <c r="I70" s="3" t="str">
        <f aca="false">IF(H70="","",IFERROR(INDEX(Codes!$B$2:$B$30,MATCH(H70,Codes!$A$2:$A$30,0)),""))</f>
        <v>Exclude: duplicate or earlier version of an included record (version of record kept)</v>
      </c>
      <c r="J70" s="3" t="s">
        <v>259</v>
      </c>
      <c r="K70" s="8"/>
      <c r="L70" s="9" t="str">
        <f aca="false">IF(K70="","",IF(K70=G70,"Y","N"))</f>
        <v/>
      </c>
    </row>
    <row r="71" customFormat="false" ht="23.85" hidden="false" customHeight="false" outlineLevel="0" collapsed="false">
      <c r="A71" s="3" t="n">
        <v>66</v>
      </c>
      <c r="B71" s="3" t="s">
        <v>260</v>
      </c>
      <c r="C71" s="3" t="s">
        <v>261</v>
      </c>
      <c r="D71" s="3"/>
      <c r="E71" s="3" t="s">
        <v>114</v>
      </c>
      <c r="F71" s="3" t="s">
        <v>214</v>
      </c>
      <c r="G71" s="3" t="s">
        <v>102</v>
      </c>
      <c r="H71" s="3" t="s">
        <v>145</v>
      </c>
      <c r="I71" s="3" t="str">
        <f aca="false">IF(H71="","",IFERROR(INDEX(Codes!$B$2:$B$30,MATCH(H71,Codes!$A$2:$A$30,0)),""))</f>
        <v>Exclude: no computational, learning, or efficiency claim (disease modeling, tools, engineering, theory)</v>
      </c>
      <c r="J71" s="3"/>
      <c r="K71" s="8"/>
      <c r="L71" s="9" t="str">
        <f aca="false">IF(K71="","",IF(K71=G71,"Y","N"))</f>
        <v/>
      </c>
    </row>
    <row r="72" customFormat="false" ht="23.85" hidden="false" customHeight="false" outlineLevel="0" collapsed="false">
      <c r="A72" s="3" t="n">
        <v>67</v>
      </c>
      <c r="B72" s="3" t="s">
        <v>262</v>
      </c>
      <c r="C72" s="3" t="s">
        <v>263</v>
      </c>
      <c r="D72" s="3"/>
      <c r="E72" s="3" t="s">
        <v>140</v>
      </c>
      <c r="F72" s="3" t="s">
        <v>214</v>
      </c>
      <c r="G72" s="3" t="s">
        <v>102</v>
      </c>
      <c r="H72" s="3" t="s">
        <v>141</v>
      </c>
      <c r="I72" s="3" t="str">
        <f aca="false">IF(H72="","",IFERROR(INDEX(Codes!$B$2:$B$30,MATCH(H72,Codes!$A$2:$A$30,0)),""))</f>
        <v>Exclude: AI, simulation, or hardware only; no living neural substrate</v>
      </c>
      <c r="J72" s="3" t="s">
        <v>264</v>
      </c>
      <c r="K72" s="8"/>
      <c r="L72" s="9" t="str">
        <f aca="false">IF(K72="","",IF(K72=G72,"Y","N"))</f>
        <v/>
      </c>
    </row>
    <row r="73" customFormat="false" ht="23.85" hidden="false" customHeight="false" outlineLevel="0" collapsed="false">
      <c r="A73" s="3" t="n">
        <v>68</v>
      </c>
      <c r="B73" s="3" t="s">
        <v>265</v>
      </c>
      <c r="C73" s="3" t="s">
        <v>266</v>
      </c>
      <c r="D73" s="3" t="n">
        <v>2025</v>
      </c>
      <c r="E73" s="3" t="s">
        <v>114</v>
      </c>
      <c r="F73" s="3" t="s">
        <v>214</v>
      </c>
      <c r="G73" s="3" t="s">
        <v>102</v>
      </c>
      <c r="H73" s="3" t="s">
        <v>145</v>
      </c>
      <c r="I73" s="3" t="str">
        <f aca="false">IF(H73="","",IFERROR(INDEX(Codes!$B$2:$B$30,MATCH(H73,Codes!$A$2:$A$30,0)),""))</f>
        <v>Exclude: no computational, learning, or efficiency claim (disease modeling, tools, engineering, theory)</v>
      </c>
      <c r="J73" s="3"/>
      <c r="K73" s="8"/>
      <c r="L73" s="9" t="str">
        <f aca="false">IF(K73="","",IF(K73=G73,"Y","N"))</f>
        <v/>
      </c>
    </row>
    <row r="74" customFormat="false" ht="23.85" hidden="false" customHeight="false" outlineLevel="0" collapsed="false">
      <c r="A74" s="3" t="n">
        <v>69</v>
      </c>
      <c r="B74" s="3" t="s">
        <v>267</v>
      </c>
      <c r="C74" s="3" t="s">
        <v>268</v>
      </c>
      <c r="D74" s="3" t="n">
        <v>2023</v>
      </c>
      <c r="E74" s="3" t="s">
        <v>114</v>
      </c>
      <c r="F74" s="3" t="s">
        <v>214</v>
      </c>
      <c r="G74" s="3" t="s">
        <v>102</v>
      </c>
      <c r="H74" s="3" t="s">
        <v>145</v>
      </c>
      <c r="I74" s="3" t="str">
        <f aca="false">IF(H74="","",IFERROR(INDEX(Codes!$B$2:$B$30,MATCH(H74,Codes!$A$2:$A$30,0)),""))</f>
        <v>Exclude: no computational, learning, or efficiency claim (disease modeling, tools, engineering, theory)</v>
      </c>
      <c r="J74" s="3"/>
      <c r="K74" s="8"/>
      <c r="L74" s="9" t="str">
        <f aca="false">IF(K74="","",IF(K74=G74,"Y","N"))</f>
        <v/>
      </c>
    </row>
    <row r="75" customFormat="false" ht="23.85" hidden="false" customHeight="false" outlineLevel="0" collapsed="false">
      <c r="A75" s="3" t="n">
        <v>70</v>
      </c>
      <c r="B75" s="3" t="s">
        <v>269</v>
      </c>
      <c r="C75" s="3" t="s">
        <v>270</v>
      </c>
      <c r="D75" s="3" t="n">
        <v>2025</v>
      </c>
      <c r="E75" s="3" t="s">
        <v>114</v>
      </c>
      <c r="F75" s="3" t="s">
        <v>214</v>
      </c>
      <c r="G75" s="3" t="s">
        <v>102</v>
      </c>
      <c r="H75" s="3" t="s">
        <v>145</v>
      </c>
      <c r="I75" s="3" t="str">
        <f aca="false">IF(H75="","",IFERROR(INDEX(Codes!$B$2:$B$30,MATCH(H75,Codes!$A$2:$A$30,0)),""))</f>
        <v>Exclude: no computational, learning, or efficiency claim (disease modeling, tools, engineering, theory)</v>
      </c>
      <c r="J75" s="3"/>
      <c r="K75" s="8"/>
      <c r="L75" s="9" t="str">
        <f aca="false">IF(K75="","",IF(K75=G75,"Y","N"))</f>
        <v/>
      </c>
    </row>
    <row r="76" customFormat="false" ht="23.85" hidden="false" customHeight="false" outlineLevel="0" collapsed="false">
      <c r="A76" s="3" t="n">
        <v>71</v>
      </c>
      <c r="B76" s="3" t="s">
        <v>271</v>
      </c>
      <c r="C76" s="3" t="s">
        <v>272</v>
      </c>
      <c r="D76" s="3" t="n">
        <v>2025</v>
      </c>
      <c r="E76" s="3" t="s">
        <v>114</v>
      </c>
      <c r="F76" s="3" t="s">
        <v>214</v>
      </c>
      <c r="G76" s="3" t="s">
        <v>102</v>
      </c>
      <c r="H76" s="3" t="s">
        <v>145</v>
      </c>
      <c r="I76" s="3" t="str">
        <f aca="false">IF(H76="","",IFERROR(INDEX(Codes!$B$2:$B$30,MATCH(H76,Codes!$A$2:$A$30,0)),""))</f>
        <v>Exclude: no computational, learning, or efficiency claim (disease modeling, tools, engineering, theory)</v>
      </c>
      <c r="J76" s="3"/>
      <c r="K76" s="8"/>
      <c r="L76" s="9" t="str">
        <f aca="false">IF(K76="","",IF(K76=G76,"Y","N"))</f>
        <v/>
      </c>
    </row>
    <row r="77" customFormat="false" ht="23.85" hidden="false" customHeight="false" outlineLevel="0" collapsed="false">
      <c r="A77" s="3" t="n">
        <v>72</v>
      </c>
      <c r="B77" s="3" t="s">
        <v>273</v>
      </c>
      <c r="C77" s="3" t="s">
        <v>274</v>
      </c>
      <c r="D77" s="3"/>
      <c r="E77" s="3" t="s">
        <v>114</v>
      </c>
      <c r="F77" s="3" t="s">
        <v>214</v>
      </c>
      <c r="G77" s="3" t="s">
        <v>102</v>
      </c>
      <c r="H77" s="3" t="s">
        <v>145</v>
      </c>
      <c r="I77" s="3" t="str">
        <f aca="false">IF(H77="","",IFERROR(INDEX(Codes!$B$2:$B$30,MATCH(H77,Codes!$A$2:$A$30,0)),""))</f>
        <v>Exclude: no computational, learning, or efficiency claim (disease modeling, tools, engineering, theory)</v>
      </c>
      <c r="J77" s="3"/>
      <c r="K77" s="8"/>
      <c r="L77" s="9" t="str">
        <f aca="false">IF(K77="","",IF(K77=G77,"Y","N"))</f>
        <v/>
      </c>
    </row>
    <row r="78" customFormat="false" ht="23.85" hidden="false" customHeight="false" outlineLevel="0" collapsed="false">
      <c r="A78" s="3" t="n">
        <v>73</v>
      </c>
      <c r="B78" s="3" t="s">
        <v>275</v>
      </c>
      <c r="C78" s="3" t="s">
        <v>276</v>
      </c>
      <c r="D78" s="3" t="n">
        <v>2022</v>
      </c>
      <c r="E78" s="3" t="s">
        <v>114</v>
      </c>
      <c r="F78" s="3" t="s">
        <v>214</v>
      </c>
      <c r="G78" s="3" t="s">
        <v>102</v>
      </c>
      <c r="H78" s="3" t="s">
        <v>145</v>
      </c>
      <c r="I78" s="3" t="str">
        <f aca="false">IF(H78="","",IFERROR(INDEX(Codes!$B$2:$B$30,MATCH(H78,Codes!$A$2:$A$30,0)),""))</f>
        <v>Exclude: no computational, learning, or efficiency claim (disease modeling, tools, engineering, theory)</v>
      </c>
      <c r="J78" s="3"/>
      <c r="K78" s="8"/>
      <c r="L78" s="9" t="str">
        <f aca="false">IF(K78="","",IF(K78=G78,"Y","N"))</f>
        <v/>
      </c>
    </row>
    <row r="79" customFormat="false" ht="23.85" hidden="false" customHeight="false" outlineLevel="0" collapsed="false">
      <c r="A79" s="3" t="n">
        <v>74</v>
      </c>
      <c r="B79" s="3" t="s">
        <v>277</v>
      </c>
      <c r="C79" s="3" t="s">
        <v>278</v>
      </c>
      <c r="D79" s="3" t="n">
        <v>2024</v>
      </c>
      <c r="E79" s="3" t="s">
        <v>70</v>
      </c>
      <c r="F79" s="3" t="s">
        <v>214</v>
      </c>
      <c r="G79" s="3" t="s">
        <v>72</v>
      </c>
      <c r="H79" s="3" t="s">
        <v>73</v>
      </c>
      <c r="I79" s="3" t="str">
        <f aca="false">IF(H79="","",IFERROR(INDEX(Codes!$B$2:$B$30,MATCH(H79,Codes!$A$2:$A$30,0)),""))</f>
        <v>Include: empirical paper with a computational, learning, or efficiency claim about living neural tissue as a substrate</v>
      </c>
      <c r="J79" s="3" t="s">
        <v>118</v>
      </c>
      <c r="K79" s="8"/>
      <c r="L79" s="9" t="str">
        <f aca="false">IF(K79="","",IF(K79=G79,"Y","N"))</f>
        <v/>
      </c>
    </row>
    <row r="80" customFormat="false" ht="23.85" hidden="false" customHeight="false" outlineLevel="0" collapsed="false">
      <c r="A80" s="3" t="n">
        <v>75</v>
      </c>
      <c r="B80" s="3" t="s">
        <v>279</v>
      </c>
      <c r="C80" s="3" t="s">
        <v>280</v>
      </c>
      <c r="D80" s="3"/>
      <c r="E80" s="3" t="s">
        <v>114</v>
      </c>
      <c r="F80" s="3" t="s">
        <v>214</v>
      </c>
      <c r="G80" s="3" t="s">
        <v>102</v>
      </c>
      <c r="H80" s="3" t="s">
        <v>145</v>
      </c>
      <c r="I80" s="3" t="str">
        <f aca="false">IF(H80="","",IFERROR(INDEX(Codes!$B$2:$B$30,MATCH(H80,Codes!$A$2:$A$30,0)),""))</f>
        <v>Exclude: no computational, learning, or efficiency claim (disease modeling, tools, engineering, theory)</v>
      </c>
      <c r="J80" s="3"/>
      <c r="K80" s="8"/>
      <c r="L80" s="9" t="str">
        <f aca="false">IF(K80="","",IF(K80=G80,"Y","N"))</f>
        <v/>
      </c>
    </row>
    <row r="81" customFormat="false" ht="23.85" hidden="false" customHeight="false" outlineLevel="0" collapsed="false">
      <c r="A81" s="3" t="n">
        <v>76</v>
      </c>
      <c r="B81" s="3" t="s">
        <v>281</v>
      </c>
      <c r="C81" s="3" t="s">
        <v>282</v>
      </c>
      <c r="D81" s="3" t="n">
        <v>2024</v>
      </c>
      <c r="E81" s="3" t="s">
        <v>70</v>
      </c>
      <c r="F81" s="3" t="s">
        <v>283</v>
      </c>
      <c r="G81" s="3" t="s">
        <v>102</v>
      </c>
      <c r="H81" s="3" t="s">
        <v>103</v>
      </c>
      <c r="I81" s="3" t="str">
        <f aca="false">IF(H81="","",IFERROR(INDEX(Codes!$B$2:$B$30,MATCH(H81,Codes!$A$2:$A$30,0)),""))</f>
        <v>Exclude: duplicate or earlier version of an included record (version of record kept)</v>
      </c>
      <c r="J81" s="3" t="s">
        <v>284</v>
      </c>
      <c r="K81" s="8"/>
      <c r="L81" s="9" t="str">
        <f aca="false">IF(K81="","",IF(K81=G81,"Y","N"))</f>
        <v/>
      </c>
    </row>
    <row r="82" customFormat="false" ht="23.85" hidden="false" customHeight="false" outlineLevel="0" collapsed="false">
      <c r="A82" s="3" t="n">
        <v>77</v>
      </c>
      <c r="B82" s="3" t="s">
        <v>285</v>
      </c>
      <c r="C82" s="3" t="s">
        <v>286</v>
      </c>
      <c r="D82" s="3" t="n">
        <v>2023</v>
      </c>
      <c r="E82" s="3" t="s">
        <v>70</v>
      </c>
      <c r="F82" s="3" t="s">
        <v>283</v>
      </c>
      <c r="G82" s="3" t="s">
        <v>72</v>
      </c>
      <c r="H82" s="3" t="s">
        <v>73</v>
      </c>
      <c r="I82" s="3" t="str">
        <f aca="false">IF(H82="","",IFERROR(INDEX(Codes!$B$2:$B$30,MATCH(H82,Codes!$A$2:$A$30,0)),""))</f>
        <v>Include: empirical paper with a computational, learning, or efficiency claim about living neural tissue as a substrate</v>
      </c>
      <c r="J82" s="3"/>
      <c r="K82" s="8"/>
      <c r="L82" s="9" t="str">
        <f aca="false">IF(K82="","",IF(K82=G82,"Y","N"))</f>
        <v/>
      </c>
    </row>
    <row r="83" customFormat="false" ht="23.85" hidden="false" customHeight="false" outlineLevel="0" collapsed="false">
      <c r="A83" s="3" t="n">
        <v>78</v>
      </c>
      <c r="B83" s="3" t="s">
        <v>287</v>
      </c>
      <c r="C83" s="3" t="s">
        <v>288</v>
      </c>
      <c r="D83" s="3" t="n">
        <v>2022</v>
      </c>
      <c r="E83" s="3" t="s">
        <v>70</v>
      </c>
      <c r="F83" s="3" t="s">
        <v>283</v>
      </c>
      <c r="G83" s="3" t="s">
        <v>102</v>
      </c>
      <c r="H83" s="3" t="s">
        <v>103</v>
      </c>
      <c r="I83" s="3" t="str">
        <f aca="false">IF(H83="","",IFERROR(INDEX(Codes!$B$2:$B$30,MATCH(H83,Codes!$A$2:$A$30,0)),""))</f>
        <v>Exclude: duplicate or earlier version of an included record (version of record kept)</v>
      </c>
      <c r="J83" s="3" t="s">
        <v>289</v>
      </c>
      <c r="K83" s="8"/>
      <c r="L83" s="9" t="str">
        <f aca="false">IF(K83="","",IF(K83=G83,"Y","N"))</f>
        <v/>
      </c>
    </row>
    <row r="84" customFormat="false" ht="23.85" hidden="false" customHeight="false" outlineLevel="0" collapsed="false">
      <c r="A84" s="3" t="n">
        <v>79</v>
      </c>
      <c r="B84" s="3" t="s">
        <v>290</v>
      </c>
      <c r="C84" s="3" t="s">
        <v>291</v>
      </c>
      <c r="D84" s="3" t="n">
        <v>2022</v>
      </c>
      <c r="E84" s="3" t="s">
        <v>134</v>
      </c>
      <c r="F84" s="3" t="s">
        <v>283</v>
      </c>
      <c r="G84" s="3" t="s">
        <v>123</v>
      </c>
      <c r="H84" s="3" t="s">
        <v>136</v>
      </c>
      <c r="I84" s="3" t="str">
        <f aca="false">IF(H84="","",IFERROR(INDEX(Codes!$B$2:$B$30,MATCH(H84,Codes!$A$2:$A$30,0)),""))</f>
        <v>Context: commentary, editorial, or press coverage (not scored; used to trace how claims propagate)</v>
      </c>
      <c r="J84" s="3" t="s">
        <v>292</v>
      </c>
      <c r="K84" s="8"/>
      <c r="L84" s="9" t="str">
        <f aca="false">IF(K84="","",IF(K84=G84,"Y","N"))</f>
        <v/>
      </c>
    </row>
    <row r="85" customFormat="false" ht="23.85" hidden="false" customHeight="false" outlineLevel="0" collapsed="false">
      <c r="A85" s="3" t="n">
        <v>80</v>
      </c>
      <c r="B85" s="3" t="s">
        <v>293</v>
      </c>
      <c r="C85" s="3" t="s">
        <v>294</v>
      </c>
      <c r="D85" s="3" t="n">
        <v>2026</v>
      </c>
      <c r="E85" s="3" t="s">
        <v>70</v>
      </c>
      <c r="F85" s="3" t="s">
        <v>283</v>
      </c>
      <c r="G85" s="3" t="s">
        <v>72</v>
      </c>
      <c r="H85" s="3" t="s">
        <v>73</v>
      </c>
      <c r="I85" s="3" t="str">
        <f aca="false">IF(H85="","",IFERROR(INDEX(Codes!$B$2:$B$30,MATCH(H85,Codes!$A$2:$A$30,0)),""))</f>
        <v>Include: empirical paper with a computational, learning, or efficiency claim about living neural tissue as a substrate</v>
      </c>
      <c r="J85" s="3" t="s">
        <v>118</v>
      </c>
      <c r="K85" s="8"/>
      <c r="L85" s="9" t="str">
        <f aca="false">IF(K85="","",IF(K85=G85,"Y","N"))</f>
        <v/>
      </c>
    </row>
    <row r="86" customFormat="false" ht="23.85" hidden="false" customHeight="false" outlineLevel="0" collapsed="false">
      <c r="A86" s="3" t="n">
        <v>81</v>
      </c>
      <c r="B86" s="3" t="s">
        <v>295</v>
      </c>
      <c r="C86" s="3" t="s">
        <v>296</v>
      </c>
      <c r="D86" s="3" t="n">
        <v>2026</v>
      </c>
      <c r="E86" s="3" t="s">
        <v>70</v>
      </c>
      <c r="F86" s="3" t="s">
        <v>283</v>
      </c>
      <c r="G86" s="3" t="s">
        <v>72</v>
      </c>
      <c r="H86" s="3" t="s">
        <v>73</v>
      </c>
      <c r="I86" s="3" t="str">
        <f aca="false">IF(H86="","",IFERROR(INDEX(Codes!$B$2:$B$30,MATCH(H86,Codes!$A$2:$A$30,0)),""))</f>
        <v>Include: empirical paper with a computational, learning, or efficiency claim about living neural tissue as a substrate</v>
      </c>
      <c r="J86" s="3" t="s">
        <v>118</v>
      </c>
      <c r="K86" s="8"/>
      <c r="L86" s="9" t="str">
        <f aca="false">IF(K86="","",IF(K86=G86,"Y","N"))</f>
        <v/>
      </c>
    </row>
    <row r="87" customFormat="false" ht="15" hidden="false" customHeight="false" outlineLevel="0" collapsed="false">
      <c r="A87" s="3" t="n">
        <v>82</v>
      </c>
      <c r="B87" s="3" t="s">
        <v>297</v>
      </c>
      <c r="C87" s="3" t="s">
        <v>298</v>
      </c>
      <c r="D87" s="3" t="n">
        <v>2024</v>
      </c>
      <c r="E87" s="3" t="s">
        <v>140</v>
      </c>
      <c r="F87" s="3" t="s">
        <v>283</v>
      </c>
      <c r="G87" s="3" t="s">
        <v>102</v>
      </c>
      <c r="H87" s="3" t="s">
        <v>141</v>
      </c>
      <c r="I87" s="3" t="str">
        <f aca="false">IF(H87="","",IFERROR(INDEX(Codes!$B$2:$B$30,MATCH(H87,Codes!$A$2:$A$30,0)),""))</f>
        <v>Exclude: AI, simulation, or hardware only; no living neural substrate</v>
      </c>
      <c r="J87" s="3"/>
      <c r="K87" s="8"/>
      <c r="L87" s="9" t="str">
        <f aca="false">IF(K87="","",IF(K87=G87,"Y","N"))</f>
        <v/>
      </c>
    </row>
    <row r="88" customFormat="false" ht="15" hidden="false" customHeight="false" outlineLevel="0" collapsed="false">
      <c r="A88" s="3" t="n">
        <v>83</v>
      </c>
      <c r="B88" s="3" t="s">
        <v>299</v>
      </c>
      <c r="C88" s="3" t="s">
        <v>300</v>
      </c>
      <c r="D88" s="3" t="n">
        <v>2025</v>
      </c>
      <c r="E88" s="3" t="s">
        <v>140</v>
      </c>
      <c r="F88" s="3" t="s">
        <v>283</v>
      </c>
      <c r="G88" s="3" t="s">
        <v>102</v>
      </c>
      <c r="H88" s="3" t="s">
        <v>141</v>
      </c>
      <c r="I88" s="3" t="str">
        <f aca="false">IF(H88="","",IFERROR(INDEX(Codes!$B$2:$B$30,MATCH(H88,Codes!$A$2:$A$30,0)),""))</f>
        <v>Exclude: AI, simulation, or hardware only; no living neural substrate</v>
      </c>
      <c r="J88" s="3" t="s">
        <v>301</v>
      </c>
      <c r="K88" s="8"/>
      <c r="L88" s="9" t="str">
        <f aca="false">IF(K88="","",IF(K88=G88,"Y","N"))</f>
        <v/>
      </c>
    </row>
    <row r="89" customFormat="false" ht="15" hidden="false" customHeight="false" outlineLevel="0" collapsed="false">
      <c r="A89" s="3" t="n">
        <v>84</v>
      </c>
      <c r="B89" s="3" t="s">
        <v>302</v>
      </c>
      <c r="C89" s="3" t="s">
        <v>303</v>
      </c>
      <c r="D89" s="3" t="n">
        <v>2026</v>
      </c>
      <c r="E89" s="3" t="s">
        <v>140</v>
      </c>
      <c r="F89" s="3" t="s">
        <v>283</v>
      </c>
      <c r="G89" s="3" t="s">
        <v>102</v>
      </c>
      <c r="H89" s="3" t="s">
        <v>141</v>
      </c>
      <c r="I89" s="3" t="str">
        <f aca="false">IF(H89="","",IFERROR(INDEX(Codes!$B$2:$B$30,MATCH(H89,Codes!$A$2:$A$30,0)),""))</f>
        <v>Exclude: AI, simulation, or hardware only; no living neural substrate</v>
      </c>
      <c r="J89" s="3"/>
      <c r="K89" s="8"/>
      <c r="L89" s="9" t="str">
        <f aca="false">IF(K89="","",IF(K89=G89,"Y","N"))</f>
        <v/>
      </c>
    </row>
    <row r="90" customFormat="false" ht="23.85" hidden="false" customHeight="false" outlineLevel="0" collapsed="false">
      <c r="A90" s="3" t="n">
        <v>85</v>
      </c>
      <c r="B90" s="3" t="s">
        <v>304</v>
      </c>
      <c r="C90" s="3" t="s">
        <v>305</v>
      </c>
      <c r="D90" s="3" t="n">
        <v>2026</v>
      </c>
      <c r="E90" s="3" t="s">
        <v>70</v>
      </c>
      <c r="F90" s="3" t="s">
        <v>283</v>
      </c>
      <c r="G90" s="3" t="s">
        <v>72</v>
      </c>
      <c r="H90" s="3" t="s">
        <v>73</v>
      </c>
      <c r="I90" s="3" t="str">
        <f aca="false">IF(H90="","",IFERROR(INDEX(Codes!$B$2:$B$30,MATCH(H90,Codes!$A$2:$A$30,0)),""))</f>
        <v>Include: empirical paper with a computational, learning, or efficiency claim about living neural tissue as a substrate</v>
      </c>
      <c r="J90" s="3" t="s">
        <v>118</v>
      </c>
      <c r="K90" s="8"/>
      <c r="L90" s="9" t="str">
        <f aca="false">IF(K90="","",IF(K90=G90,"Y","N"))</f>
        <v/>
      </c>
    </row>
    <row r="91" customFormat="false" ht="23.85" hidden="false" customHeight="false" outlineLevel="0" collapsed="false">
      <c r="A91" s="3" t="n">
        <v>86</v>
      </c>
      <c r="B91" s="3" t="s">
        <v>306</v>
      </c>
      <c r="C91" s="3" t="s">
        <v>307</v>
      </c>
      <c r="D91" s="3" t="n">
        <v>2022</v>
      </c>
      <c r="E91" s="3" t="s">
        <v>140</v>
      </c>
      <c r="F91" s="3" t="s">
        <v>283</v>
      </c>
      <c r="G91" s="3" t="s">
        <v>102</v>
      </c>
      <c r="H91" s="3" t="s">
        <v>141</v>
      </c>
      <c r="I91" s="3" t="str">
        <f aca="false">IF(H91="","",IFERROR(INDEX(Codes!$B$2:$B$30,MATCH(H91,Codes!$A$2:$A$30,0)),""))</f>
        <v>Exclude: AI, simulation, or hardware only; no living neural substrate</v>
      </c>
      <c r="J91" s="3"/>
      <c r="K91" s="8"/>
      <c r="L91" s="9" t="str">
        <f aca="false">IF(K91="","",IF(K91=G91,"Y","N"))</f>
        <v/>
      </c>
    </row>
    <row r="92" customFormat="false" ht="15" hidden="false" customHeight="false" outlineLevel="0" collapsed="false">
      <c r="A92" s="3" t="n">
        <v>87</v>
      </c>
      <c r="B92" s="3" t="s">
        <v>308</v>
      </c>
      <c r="C92" s="3" t="s">
        <v>309</v>
      </c>
      <c r="D92" s="3" t="n">
        <v>2025</v>
      </c>
      <c r="E92" s="3" t="s">
        <v>140</v>
      </c>
      <c r="F92" s="3" t="s">
        <v>283</v>
      </c>
      <c r="G92" s="3" t="s">
        <v>102</v>
      </c>
      <c r="H92" s="3" t="s">
        <v>141</v>
      </c>
      <c r="I92" s="3" t="str">
        <f aca="false">IF(H92="","",IFERROR(INDEX(Codes!$B$2:$B$30,MATCH(H92,Codes!$A$2:$A$30,0)),""))</f>
        <v>Exclude: AI, simulation, or hardware only; no living neural substrate</v>
      </c>
      <c r="J92" s="3"/>
      <c r="K92" s="8"/>
      <c r="L92" s="9" t="str">
        <f aca="false">IF(K92="","",IF(K92=G92,"Y","N"))</f>
        <v/>
      </c>
    </row>
    <row r="93" customFormat="false" ht="23.85" hidden="false" customHeight="false" outlineLevel="0" collapsed="false">
      <c r="A93" s="3" t="n">
        <v>88</v>
      </c>
      <c r="B93" s="3" t="s">
        <v>310</v>
      </c>
      <c r="C93" s="3" t="s">
        <v>311</v>
      </c>
      <c r="D93" s="3" t="n">
        <v>2026</v>
      </c>
      <c r="E93" s="3" t="s">
        <v>70</v>
      </c>
      <c r="F93" s="3" t="s">
        <v>283</v>
      </c>
      <c r="G93" s="3" t="s">
        <v>72</v>
      </c>
      <c r="H93" s="3" t="s">
        <v>73</v>
      </c>
      <c r="I93" s="3" t="str">
        <f aca="false">IF(H93="","",IFERROR(INDEX(Codes!$B$2:$B$30,MATCH(H93,Codes!$A$2:$A$30,0)),""))</f>
        <v>Include: empirical paper with a computational, learning, or efficiency claim about living neural tissue as a substrate</v>
      </c>
      <c r="J93" s="3"/>
      <c r="K93" s="8"/>
      <c r="L93" s="9" t="str">
        <f aca="false">IF(K93="","",IF(K93=G93,"Y","N"))</f>
        <v/>
      </c>
    </row>
    <row r="94" customFormat="false" ht="15" hidden="false" customHeight="false" outlineLevel="0" collapsed="false">
      <c r="A94" s="3" t="n">
        <v>89</v>
      </c>
      <c r="B94" s="3" t="s">
        <v>312</v>
      </c>
      <c r="C94" s="3" t="s">
        <v>313</v>
      </c>
      <c r="D94" s="3" t="n">
        <v>2023</v>
      </c>
      <c r="E94" s="3" t="s">
        <v>140</v>
      </c>
      <c r="F94" s="3" t="s">
        <v>283</v>
      </c>
      <c r="G94" s="3" t="s">
        <v>102</v>
      </c>
      <c r="H94" s="3" t="s">
        <v>141</v>
      </c>
      <c r="I94" s="3" t="str">
        <f aca="false">IF(H94="","",IFERROR(INDEX(Codes!$B$2:$B$30,MATCH(H94,Codes!$A$2:$A$30,0)),""))</f>
        <v>Exclude: AI, simulation, or hardware only; no living neural substrate</v>
      </c>
      <c r="J94" s="3"/>
      <c r="K94" s="8"/>
      <c r="L94" s="9" t="str">
        <f aca="false">IF(K94="","",IF(K94=G94,"Y","N"))</f>
        <v/>
      </c>
    </row>
    <row r="95" customFormat="false" ht="23.85" hidden="false" customHeight="false" outlineLevel="0" collapsed="false">
      <c r="A95" s="3" t="n">
        <v>90</v>
      </c>
      <c r="B95" s="3" t="s">
        <v>314</v>
      </c>
      <c r="C95" s="3" t="s">
        <v>315</v>
      </c>
      <c r="D95" s="3" t="n">
        <v>2021</v>
      </c>
      <c r="E95" s="3" t="s">
        <v>140</v>
      </c>
      <c r="F95" s="3" t="s">
        <v>283</v>
      </c>
      <c r="G95" s="3" t="s">
        <v>102</v>
      </c>
      <c r="H95" s="3" t="s">
        <v>141</v>
      </c>
      <c r="I95" s="3" t="str">
        <f aca="false">IF(H95="","",IFERROR(INDEX(Codes!$B$2:$B$30,MATCH(H95,Codes!$A$2:$A$30,0)),""))</f>
        <v>Exclude: AI, simulation, or hardware only; no living neural substrate</v>
      </c>
      <c r="J95" s="3"/>
      <c r="K95" s="8"/>
      <c r="L95" s="9" t="str">
        <f aca="false">IF(K95="","",IF(K95=G95,"Y","N"))</f>
        <v/>
      </c>
    </row>
    <row r="96" customFormat="false" ht="23.85" hidden="false" customHeight="false" outlineLevel="0" collapsed="false">
      <c r="A96" s="3" t="n">
        <v>91</v>
      </c>
      <c r="B96" s="3" t="s">
        <v>316</v>
      </c>
      <c r="C96" s="3" t="s">
        <v>317</v>
      </c>
      <c r="D96" s="3" t="n">
        <v>2026</v>
      </c>
      <c r="E96" s="3" t="s">
        <v>70</v>
      </c>
      <c r="F96" s="3" t="s">
        <v>283</v>
      </c>
      <c r="G96" s="3" t="s">
        <v>72</v>
      </c>
      <c r="H96" s="3" t="s">
        <v>73</v>
      </c>
      <c r="I96" s="3" t="str">
        <f aca="false">IF(H96="","",IFERROR(INDEX(Codes!$B$2:$B$30,MATCH(H96,Codes!$A$2:$A$30,0)),""))</f>
        <v>Include: empirical paper with a computational, learning, or efficiency claim about living neural tissue as a substrate</v>
      </c>
      <c r="J96" s="3" t="s">
        <v>318</v>
      </c>
      <c r="K96" s="8"/>
      <c r="L96" s="9" t="str">
        <f aca="false">IF(K96="","",IF(K96=G96,"Y","N"))</f>
        <v/>
      </c>
    </row>
    <row r="97" customFormat="false" ht="15" hidden="false" customHeight="false" outlineLevel="0" collapsed="false">
      <c r="A97" s="3" t="n">
        <v>92</v>
      </c>
      <c r="B97" s="3" t="s">
        <v>319</v>
      </c>
      <c r="C97" s="3" t="s">
        <v>320</v>
      </c>
      <c r="D97" s="3" t="n">
        <v>2020</v>
      </c>
      <c r="E97" s="3" t="s">
        <v>140</v>
      </c>
      <c r="F97" s="3" t="s">
        <v>283</v>
      </c>
      <c r="G97" s="3" t="s">
        <v>102</v>
      </c>
      <c r="H97" s="3" t="s">
        <v>141</v>
      </c>
      <c r="I97" s="3" t="str">
        <f aca="false">IF(H97="","",IFERROR(INDEX(Codes!$B$2:$B$30,MATCH(H97,Codes!$A$2:$A$30,0)),""))</f>
        <v>Exclude: AI, simulation, or hardware only; no living neural substrate</v>
      </c>
      <c r="J97" s="3"/>
      <c r="K97" s="8"/>
      <c r="L97" s="9" t="str">
        <f aca="false">IF(K97="","",IF(K97=G97,"Y","N"))</f>
        <v/>
      </c>
    </row>
    <row r="98" customFormat="false" ht="15" hidden="false" customHeight="false" outlineLevel="0" collapsed="false">
      <c r="A98" s="3" t="n">
        <v>93</v>
      </c>
      <c r="B98" s="3" t="s">
        <v>321</v>
      </c>
      <c r="C98" s="3" t="s">
        <v>322</v>
      </c>
      <c r="D98" s="3" t="n">
        <v>2024</v>
      </c>
      <c r="E98" s="3" t="s">
        <v>140</v>
      </c>
      <c r="F98" s="3" t="s">
        <v>283</v>
      </c>
      <c r="G98" s="3" t="s">
        <v>102</v>
      </c>
      <c r="H98" s="3" t="s">
        <v>141</v>
      </c>
      <c r="I98" s="3" t="str">
        <f aca="false">IF(H98="","",IFERROR(INDEX(Codes!$B$2:$B$30,MATCH(H98,Codes!$A$2:$A$30,0)),""))</f>
        <v>Exclude: AI, simulation, or hardware only; no living neural substrate</v>
      </c>
      <c r="J98" s="3"/>
      <c r="K98" s="8"/>
      <c r="L98" s="9" t="str">
        <f aca="false">IF(K98="","",IF(K98=G98,"Y","N"))</f>
        <v/>
      </c>
    </row>
    <row r="99" customFormat="false" ht="23.85" hidden="false" customHeight="false" outlineLevel="0" collapsed="false">
      <c r="A99" s="3" t="n">
        <v>94</v>
      </c>
      <c r="B99" s="3" t="s">
        <v>323</v>
      </c>
      <c r="C99" s="3" t="s">
        <v>324</v>
      </c>
      <c r="D99" s="3" t="n">
        <v>2020</v>
      </c>
      <c r="E99" s="3" t="s">
        <v>70</v>
      </c>
      <c r="F99" s="3" t="s">
        <v>283</v>
      </c>
      <c r="G99" s="3" t="s">
        <v>102</v>
      </c>
      <c r="H99" s="3" t="s">
        <v>103</v>
      </c>
      <c r="I99" s="3" t="str">
        <f aca="false">IF(H99="","",IFERROR(INDEX(Codes!$B$2:$B$30,MATCH(H99,Codes!$A$2:$A$30,0)),""))</f>
        <v>Exclude: duplicate or earlier version of an included record (version of record kept)</v>
      </c>
      <c r="J99" s="3" t="s">
        <v>325</v>
      </c>
      <c r="K99" s="8"/>
      <c r="L99" s="9" t="str">
        <f aca="false">IF(K99="","",IF(K99=G99,"Y","N"))</f>
        <v/>
      </c>
    </row>
    <row r="100" customFormat="false" ht="23.85" hidden="false" customHeight="false" outlineLevel="0" collapsed="false">
      <c r="A100" s="3" t="n">
        <v>95</v>
      </c>
      <c r="B100" s="3" t="s">
        <v>326</v>
      </c>
      <c r="C100" s="3" t="s">
        <v>327</v>
      </c>
      <c r="D100" s="3" t="n">
        <v>2020</v>
      </c>
      <c r="E100" s="3" t="s">
        <v>70</v>
      </c>
      <c r="F100" s="3" t="s">
        <v>283</v>
      </c>
      <c r="G100" s="3" t="s">
        <v>72</v>
      </c>
      <c r="H100" s="3" t="s">
        <v>73</v>
      </c>
      <c r="I100" s="3" t="str">
        <f aca="false">IF(H100="","",IFERROR(INDEX(Codes!$B$2:$B$30,MATCH(H100,Codes!$A$2:$A$30,0)),""))</f>
        <v>Include: empirical paper with a computational, learning, or efficiency claim about living neural tissue as a substrate</v>
      </c>
      <c r="J100" s="3"/>
      <c r="K100" s="8"/>
      <c r="L100" s="9" t="str">
        <f aca="false">IF(K100="","",IF(K100=G100,"Y","N"))</f>
        <v/>
      </c>
    </row>
    <row r="101" customFormat="false" ht="15" hidden="false" customHeight="false" outlineLevel="0" collapsed="false">
      <c r="A101" s="3" t="n">
        <v>96</v>
      </c>
      <c r="B101" s="3" t="s">
        <v>328</v>
      </c>
      <c r="C101" s="3" t="s">
        <v>329</v>
      </c>
      <c r="D101" s="3" t="n">
        <v>2022</v>
      </c>
      <c r="E101" s="3" t="s">
        <v>140</v>
      </c>
      <c r="F101" s="3" t="s">
        <v>283</v>
      </c>
      <c r="G101" s="3" t="s">
        <v>102</v>
      </c>
      <c r="H101" s="3" t="s">
        <v>141</v>
      </c>
      <c r="I101" s="3" t="str">
        <f aca="false">IF(H101="","",IFERROR(INDEX(Codes!$B$2:$B$30,MATCH(H101,Codes!$A$2:$A$30,0)),""))</f>
        <v>Exclude: AI, simulation, or hardware only; no living neural substrate</v>
      </c>
      <c r="J101" s="3"/>
      <c r="K101" s="8"/>
      <c r="L101" s="9" t="str">
        <f aca="false">IF(K101="","",IF(K101=G101,"Y","N"))</f>
        <v/>
      </c>
    </row>
    <row r="102" customFormat="false" ht="23.85" hidden="false" customHeight="false" outlineLevel="0" collapsed="false">
      <c r="A102" s="3" t="n">
        <v>97</v>
      </c>
      <c r="B102" s="3" t="s">
        <v>330</v>
      </c>
      <c r="C102" s="3" t="s">
        <v>331</v>
      </c>
      <c r="D102" s="3" t="n">
        <v>2022</v>
      </c>
      <c r="E102" s="3" t="s">
        <v>70</v>
      </c>
      <c r="F102" s="3" t="s">
        <v>283</v>
      </c>
      <c r="G102" s="3" t="s">
        <v>102</v>
      </c>
      <c r="H102" s="3" t="s">
        <v>141</v>
      </c>
      <c r="I102" s="3" t="str">
        <f aca="false">IF(H102="","",IFERROR(INDEX(Codes!$B$2:$B$30,MATCH(H102,Codes!$A$2:$A$30,0)),""))</f>
        <v>Exclude: AI, simulation, or hardware only; no living neural substrate</v>
      </c>
      <c r="J102" s="3" t="s">
        <v>332</v>
      </c>
      <c r="K102" s="8"/>
      <c r="L102" s="9" t="str">
        <f aca="false">IF(K102="","",IF(K102=G102,"Y","N"))</f>
        <v/>
      </c>
    </row>
    <row r="103" customFormat="false" ht="23.85" hidden="false" customHeight="false" outlineLevel="0" collapsed="false">
      <c r="A103" s="3" t="n">
        <v>98</v>
      </c>
      <c r="B103" s="3" t="s">
        <v>333</v>
      </c>
      <c r="C103" s="3" t="s">
        <v>334</v>
      </c>
      <c r="D103" s="3" t="n">
        <v>2025</v>
      </c>
      <c r="E103" s="3" t="s">
        <v>140</v>
      </c>
      <c r="F103" s="3" t="s">
        <v>283</v>
      </c>
      <c r="G103" s="3" t="s">
        <v>102</v>
      </c>
      <c r="H103" s="3" t="s">
        <v>145</v>
      </c>
      <c r="I103" s="3" t="str">
        <f aca="false">IF(H103="","",IFERROR(INDEX(Codes!$B$2:$B$30,MATCH(H103,Codes!$A$2:$A$30,0)),""))</f>
        <v>Exclude: no computational, learning, or efficiency claim (disease modeling, tools, engineering, theory)</v>
      </c>
      <c r="J103" s="3"/>
      <c r="K103" s="8"/>
      <c r="L103" s="9" t="str">
        <f aca="false">IF(K103="","",IF(K103=G103,"Y","N"))</f>
        <v/>
      </c>
    </row>
    <row r="104" customFormat="false" ht="15" hidden="false" customHeight="false" outlineLevel="0" collapsed="false">
      <c r="A104" s="3" t="n">
        <v>99</v>
      </c>
      <c r="B104" s="3" t="s">
        <v>335</v>
      </c>
      <c r="C104" s="3" t="s">
        <v>336</v>
      </c>
      <c r="D104" s="3" t="n">
        <v>2024</v>
      </c>
      <c r="E104" s="3" t="s">
        <v>140</v>
      </c>
      <c r="F104" s="3" t="s">
        <v>283</v>
      </c>
      <c r="G104" s="3" t="s">
        <v>102</v>
      </c>
      <c r="H104" s="3" t="s">
        <v>141</v>
      </c>
      <c r="I104" s="3" t="str">
        <f aca="false">IF(H104="","",IFERROR(INDEX(Codes!$B$2:$B$30,MATCH(H104,Codes!$A$2:$A$30,0)),""))</f>
        <v>Exclude: AI, simulation, or hardware only; no living neural substrate</v>
      </c>
      <c r="J104" s="3"/>
      <c r="K104" s="8"/>
      <c r="L104" s="9" t="str">
        <f aca="false">IF(K104="","",IF(K104=G104,"Y","N"))</f>
        <v/>
      </c>
    </row>
    <row r="105" customFormat="false" ht="15" hidden="false" customHeight="false" outlineLevel="0" collapsed="false">
      <c r="A105" s="3" t="n">
        <v>100</v>
      </c>
      <c r="B105" s="3" t="s">
        <v>337</v>
      </c>
      <c r="C105" s="3" t="s">
        <v>338</v>
      </c>
      <c r="D105" s="3" t="n">
        <v>2025</v>
      </c>
      <c r="E105" s="3" t="s">
        <v>88</v>
      </c>
      <c r="F105" s="3" t="s">
        <v>283</v>
      </c>
      <c r="G105" s="3" t="s">
        <v>72</v>
      </c>
      <c r="H105" s="3" t="s">
        <v>90</v>
      </c>
      <c r="I105" s="3" t="str">
        <f aca="false">IF(H105="","",IFERROR(INDEX(Codes!$B$2:$B$30,MATCH(H105,Codes!$A$2:$A$30,0)),""))</f>
        <v>Include: review or roadmap that makes explicit claims about such systems</v>
      </c>
      <c r="J105" s="3" t="s">
        <v>339</v>
      </c>
      <c r="K105" s="8"/>
      <c r="L105" s="9" t="str">
        <f aca="false">IF(K105="","",IF(K105=G105,"Y","N"))</f>
        <v/>
      </c>
    </row>
    <row r="106" customFormat="false" ht="15" hidden="false" customHeight="false" outlineLevel="0" collapsed="false">
      <c r="A106" s="3" t="n">
        <v>101</v>
      </c>
      <c r="B106" s="3" t="s">
        <v>340</v>
      </c>
      <c r="C106" s="3" t="s">
        <v>341</v>
      </c>
      <c r="D106" s="3" t="n">
        <v>2021</v>
      </c>
      <c r="E106" s="3" t="s">
        <v>140</v>
      </c>
      <c r="F106" s="3" t="s">
        <v>283</v>
      </c>
      <c r="G106" s="3" t="s">
        <v>102</v>
      </c>
      <c r="H106" s="3" t="s">
        <v>141</v>
      </c>
      <c r="I106" s="3" t="str">
        <f aca="false">IF(H106="","",IFERROR(INDEX(Codes!$B$2:$B$30,MATCH(H106,Codes!$A$2:$A$30,0)),""))</f>
        <v>Exclude: AI, simulation, or hardware only; no living neural substrate</v>
      </c>
      <c r="J106" s="3"/>
      <c r="K106" s="8"/>
      <c r="L106" s="9" t="str">
        <f aca="false">IF(K106="","",IF(K106=G106,"Y","N"))</f>
        <v/>
      </c>
    </row>
    <row r="107" customFormat="false" ht="15" hidden="false" customHeight="false" outlineLevel="0" collapsed="false">
      <c r="A107" s="3" t="n">
        <v>102</v>
      </c>
      <c r="B107" s="3" t="s">
        <v>342</v>
      </c>
      <c r="C107" s="3" t="s">
        <v>343</v>
      </c>
      <c r="D107" s="3" t="n">
        <v>2025</v>
      </c>
      <c r="E107" s="3" t="s">
        <v>140</v>
      </c>
      <c r="F107" s="3" t="s">
        <v>283</v>
      </c>
      <c r="G107" s="3" t="s">
        <v>102</v>
      </c>
      <c r="H107" s="3" t="s">
        <v>141</v>
      </c>
      <c r="I107" s="3" t="str">
        <f aca="false">IF(H107="","",IFERROR(INDEX(Codes!$B$2:$B$30,MATCH(H107,Codes!$A$2:$A$30,0)),""))</f>
        <v>Exclude: AI, simulation, or hardware only; no living neural substrate</v>
      </c>
      <c r="J107" s="3"/>
      <c r="K107" s="8"/>
      <c r="L107" s="9" t="str">
        <f aca="false">IF(K107="","",IF(K107=G107,"Y","N"))</f>
        <v/>
      </c>
    </row>
    <row r="108" customFormat="false" ht="15" hidden="false" customHeight="false" outlineLevel="0" collapsed="false">
      <c r="A108" s="3" t="n">
        <v>103</v>
      </c>
      <c r="B108" s="3" t="s">
        <v>344</v>
      </c>
      <c r="C108" s="3" t="s">
        <v>345</v>
      </c>
      <c r="D108" s="3" t="n">
        <v>2020</v>
      </c>
      <c r="E108" s="3" t="s">
        <v>140</v>
      </c>
      <c r="F108" s="3" t="s">
        <v>283</v>
      </c>
      <c r="G108" s="3" t="s">
        <v>102</v>
      </c>
      <c r="H108" s="3" t="s">
        <v>141</v>
      </c>
      <c r="I108" s="3" t="str">
        <f aca="false">IF(H108="","",IFERROR(INDEX(Codes!$B$2:$B$30,MATCH(H108,Codes!$A$2:$A$30,0)),""))</f>
        <v>Exclude: AI, simulation, or hardware only; no living neural substrate</v>
      </c>
      <c r="J108" s="3"/>
      <c r="K108" s="8"/>
      <c r="L108" s="9" t="str">
        <f aca="false">IF(K108="","",IF(K108=G108,"Y","N"))</f>
        <v/>
      </c>
    </row>
    <row r="109" customFormat="false" ht="15" hidden="false" customHeight="false" outlineLevel="0" collapsed="false">
      <c r="A109" s="3" t="n">
        <v>104</v>
      </c>
      <c r="B109" s="3" t="s">
        <v>346</v>
      </c>
      <c r="C109" s="3" t="s">
        <v>347</v>
      </c>
      <c r="D109" s="3" t="n">
        <v>2022</v>
      </c>
      <c r="E109" s="3" t="s">
        <v>140</v>
      </c>
      <c r="F109" s="3" t="s">
        <v>283</v>
      </c>
      <c r="G109" s="3" t="s">
        <v>102</v>
      </c>
      <c r="H109" s="3" t="s">
        <v>141</v>
      </c>
      <c r="I109" s="3" t="str">
        <f aca="false">IF(H109="","",IFERROR(INDEX(Codes!$B$2:$B$30,MATCH(H109,Codes!$A$2:$A$30,0)),""))</f>
        <v>Exclude: AI, simulation, or hardware only; no living neural substrate</v>
      </c>
      <c r="J109" s="3"/>
      <c r="K109" s="8"/>
      <c r="L109" s="9" t="str">
        <f aca="false">IF(K109="","",IF(K109=G109,"Y","N"))</f>
        <v/>
      </c>
    </row>
    <row r="110" customFormat="false" ht="23.85" hidden="false" customHeight="false" outlineLevel="0" collapsed="false">
      <c r="A110" s="3" t="n">
        <v>105</v>
      </c>
      <c r="B110" s="3" t="s">
        <v>348</v>
      </c>
      <c r="C110" s="3" t="s">
        <v>349</v>
      </c>
      <c r="D110" s="3" t="n">
        <v>2021</v>
      </c>
      <c r="E110" s="3" t="s">
        <v>140</v>
      </c>
      <c r="F110" s="3" t="s">
        <v>283</v>
      </c>
      <c r="G110" s="3" t="s">
        <v>123</v>
      </c>
      <c r="H110" s="3" t="s">
        <v>350</v>
      </c>
      <c r="I110" s="3" t="str">
        <f aca="false">IF(H110="","",IFERROR(INDEX(Codes!$B$2:$B$30,MATCH(H110,Codes!$A$2:$A$30,0)),""))</f>
        <v>Context: comparator literature (e.g., AI/neuromorphic energy and sample-efficiency baselines)</v>
      </c>
      <c r="J110" s="3" t="s">
        <v>351</v>
      </c>
      <c r="K110" s="8"/>
      <c r="L110" s="9" t="str">
        <f aca="false">IF(K110="","",IF(K110=G110,"Y","N"))</f>
        <v/>
      </c>
    </row>
    <row r="111" customFormat="false" ht="15" hidden="false" customHeight="false" outlineLevel="0" collapsed="false">
      <c r="A111" s="3" t="n">
        <v>106</v>
      </c>
      <c r="B111" s="3" t="s">
        <v>352</v>
      </c>
      <c r="C111" s="3" t="s">
        <v>353</v>
      </c>
      <c r="D111" s="3" t="n">
        <v>2026</v>
      </c>
      <c r="E111" s="3" t="s">
        <v>140</v>
      </c>
      <c r="F111" s="3" t="s">
        <v>283</v>
      </c>
      <c r="G111" s="3" t="s">
        <v>102</v>
      </c>
      <c r="H111" s="3" t="s">
        <v>141</v>
      </c>
      <c r="I111" s="3" t="str">
        <f aca="false">IF(H111="","",IFERROR(INDEX(Codes!$B$2:$B$30,MATCH(H111,Codes!$A$2:$A$30,0)),""))</f>
        <v>Exclude: AI, simulation, or hardware only; no living neural substrate</v>
      </c>
      <c r="J111" s="3"/>
      <c r="K111" s="8"/>
      <c r="L111" s="9" t="str">
        <f aca="false">IF(K111="","",IF(K111=G111,"Y","N"))</f>
        <v/>
      </c>
    </row>
    <row r="112" customFormat="false" ht="15" hidden="false" customHeight="false" outlineLevel="0" collapsed="false">
      <c r="A112" s="3" t="n">
        <v>107</v>
      </c>
      <c r="B112" s="3" t="s">
        <v>354</v>
      </c>
      <c r="C112" s="3" t="s">
        <v>355</v>
      </c>
      <c r="D112" s="3" t="n">
        <v>2020</v>
      </c>
      <c r="E112" s="3" t="s">
        <v>140</v>
      </c>
      <c r="F112" s="3" t="s">
        <v>283</v>
      </c>
      <c r="G112" s="3" t="s">
        <v>102</v>
      </c>
      <c r="H112" s="3" t="s">
        <v>141</v>
      </c>
      <c r="I112" s="3" t="str">
        <f aca="false">IF(H112="","",IFERROR(INDEX(Codes!$B$2:$B$30,MATCH(H112,Codes!$A$2:$A$30,0)),""))</f>
        <v>Exclude: AI, simulation, or hardware only; no living neural substrate</v>
      </c>
      <c r="J112" s="3"/>
      <c r="K112" s="8"/>
      <c r="L112" s="9" t="str">
        <f aca="false">IF(K112="","",IF(K112=G112,"Y","N"))</f>
        <v/>
      </c>
    </row>
    <row r="113" customFormat="false" ht="15" hidden="false" customHeight="false" outlineLevel="0" collapsed="false">
      <c r="A113" s="3" t="n">
        <v>108</v>
      </c>
      <c r="B113" s="3" t="s">
        <v>356</v>
      </c>
      <c r="C113" s="3" t="s">
        <v>357</v>
      </c>
      <c r="D113" s="3" t="n">
        <v>2025</v>
      </c>
      <c r="E113" s="3" t="s">
        <v>140</v>
      </c>
      <c r="F113" s="3" t="s">
        <v>283</v>
      </c>
      <c r="G113" s="3" t="s">
        <v>102</v>
      </c>
      <c r="H113" s="3" t="s">
        <v>141</v>
      </c>
      <c r="I113" s="3" t="str">
        <f aca="false">IF(H113="","",IFERROR(INDEX(Codes!$B$2:$B$30,MATCH(H113,Codes!$A$2:$A$30,0)),""))</f>
        <v>Exclude: AI, simulation, or hardware only; no living neural substrate</v>
      </c>
      <c r="J113" s="3"/>
      <c r="K113" s="8"/>
      <c r="L113" s="9" t="str">
        <f aca="false">IF(K113="","",IF(K113=G113,"Y","N"))</f>
        <v/>
      </c>
    </row>
    <row r="114" customFormat="false" ht="15" hidden="false" customHeight="false" outlineLevel="0" collapsed="false">
      <c r="A114" s="3" t="n">
        <v>109</v>
      </c>
      <c r="B114" s="3" t="s">
        <v>358</v>
      </c>
      <c r="C114" s="3" t="s">
        <v>359</v>
      </c>
      <c r="D114" s="3" t="n">
        <v>2023</v>
      </c>
      <c r="E114" s="3" t="s">
        <v>140</v>
      </c>
      <c r="F114" s="3" t="s">
        <v>283</v>
      </c>
      <c r="G114" s="3" t="s">
        <v>102</v>
      </c>
      <c r="H114" s="3" t="s">
        <v>141</v>
      </c>
      <c r="I114" s="3" t="str">
        <f aca="false">IF(H114="","",IFERROR(INDEX(Codes!$B$2:$B$30,MATCH(H114,Codes!$A$2:$A$30,0)),""))</f>
        <v>Exclude: AI, simulation, or hardware only; no living neural substrate</v>
      </c>
      <c r="J114" s="3"/>
      <c r="K114" s="8"/>
      <c r="L114" s="9" t="str">
        <f aca="false">IF(K114="","",IF(K114=G114,"Y","N"))</f>
        <v/>
      </c>
    </row>
    <row r="115" customFormat="false" ht="15" hidden="false" customHeight="false" outlineLevel="0" collapsed="false">
      <c r="A115" s="3" t="n">
        <v>110</v>
      </c>
      <c r="B115" s="3" t="s">
        <v>360</v>
      </c>
      <c r="C115" s="3" t="s">
        <v>361</v>
      </c>
      <c r="D115" s="3" t="n">
        <v>2026</v>
      </c>
      <c r="E115" s="3" t="s">
        <v>140</v>
      </c>
      <c r="F115" s="3" t="s">
        <v>283</v>
      </c>
      <c r="G115" s="3" t="s">
        <v>102</v>
      </c>
      <c r="H115" s="3" t="s">
        <v>141</v>
      </c>
      <c r="I115" s="3" t="str">
        <f aca="false">IF(H115="","",IFERROR(INDEX(Codes!$B$2:$B$30,MATCH(H115,Codes!$A$2:$A$30,0)),""))</f>
        <v>Exclude: AI, simulation, or hardware only; no living neural substrate</v>
      </c>
      <c r="J115" s="3"/>
      <c r="K115" s="8"/>
      <c r="L115" s="9" t="str">
        <f aca="false">IF(K115="","",IF(K115=G115,"Y","N"))</f>
        <v/>
      </c>
    </row>
    <row r="116" customFormat="false" ht="23.85" hidden="false" customHeight="false" outlineLevel="0" collapsed="false">
      <c r="A116" s="3" t="n">
        <v>111</v>
      </c>
      <c r="B116" s="3" t="s">
        <v>362</v>
      </c>
      <c r="C116" s="3" t="s">
        <v>363</v>
      </c>
      <c r="D116" s="3" t="n">
        <v>2026</v>
      </c>
      <c r="E116" s="3" t="s">
        <v>88</v>
      </c>
      <c r="F116" s="3" t="s">
        <v>364</v>
      </c>
      <c r="G116" s="3" t="s">
        <v>123</v>
      </c>
      <c r="H116" s="3" t="s">
        <v>350</v>
      </c>
      <c r="I116" s="3" t="str">
        <f aca="false">IF(H116="","",IFERROR(INDEX(Codes!$B$2:$B$30,MATCH(H116,Codes!$A$2:$A$30,0)),""))</f>
        <v>Context: comparator literature (e.g., AI/neuromorphic energy and sample-efficiency baselines)</v>
      </c>
      <c r="J116" s="3" t="s">
        <v>365</v>
      </c>
      <c r="K116" s="8"/>
      <c r="L116" s="9" t="str">
        <f aca="false">IF(K116="","",IF(K116=G116,"Y","N"))</f>
        <v/>
      </c>
    </row>
    <row r="117" customFormat="false" ht="15" hidden="false" customHeight="false" outlineLevel="0" collapsed="false">
      <c r="A117" s="3" t="n">
        <v>112</v>
      </c>
      <c r="B117" s="3" t="s">
        <v>366</v>
      </c>
      <c r="C117" s="3" t="s">
        <v>367</v>
      </c>
      <c r="D117" s="3" t="n">
        <v>2026</v>
      </c>
      <c r="E117" s="3" t="s">
        <v>140</v>
      </c>
      <c r="F117" s="3" t="s">
        <v>364</v>
      </c>
      <c r="G117" s="3" t="s">
        <v>102</v>
      </c>
      <c r="H117" s="3" t="s">
        <v>141</v>
      </c>
      <c r="I117" s="3" t="str">
        <f aca="false">IF(H117="","",IFERROR(INDEX(Codes!$B$2:$B$30,MATCH(H117,Codes!$A$2:$A$30,0)),""))</f>
        <v>Exclude: AI, simulation, or hardware only; no living neural substrate</v>
      </c>
      <c r="J117" s="3"/>
      <c r="K117" s="8"/>
      <c r="L117" s="9" t="str">
        <f aca="false">IF(K117="","",IF(K117=G117,"Y","N"))</f>
        <v/>
      </c>
    </row>
    <row r="118" customFormat="false" ht="15" hidden="false" customHeight="false" outlineLevel="0" collapsed="false">
      <c r="A118" s="3" t="n">
        <v>113</v>
      </c>
      <c r="B118" s="3" t="s">
        <v>368</v>
      </c>
      <c r="C118" s="3" t="s">
        <v>369</v>
      </c>
      <c r="D118" s="3" t="n">
        <v>2019</v>
      </c>
      <c r="E118" s="3" t="s">
        <v>140</v>
      </c>
      <c r="F118" s="3" t="s">
        <v>364</v>
      </c>
      <c r="G118" s="3" t="s">
        <v>102</v>
      </c>
      <c r="H118" s="3" t="s">
        <v>370</v>
      </c>
      <c r="I118" s="3" t="str">
        <f aca="false">IF(H118="","",IFERROR(INDEX(Codes!$B$2:$B$30,MATCH(H118,Codes!$A$2:$A$30,0)),""))</f>
        <v>Exclude: outside date range (before 2020)</v>
      </c>
      <c r="J118" s="3" t="s">
        <v>371</v>
      </c>
      <c r="K118" s="8"/>
      <c r="L118" s="9" t="str">
        <f aca="false">IF(K118="","",IF(K118=G118,"Y","N"))</f>
        <v/>
      </c>
    </row>
    <row r="119" customFormat="false" ht="15" hidden="false" customHeight="false" outlineLevel="0" collapsed="false">
      <c r="A119" s="3" t="n">
        <v>114</v>
      </c>
      <c r="B119" s="3" t="s">
        <v>372</v>
      </c>
      <c r="C119" s="3" t="s">
        <v>373</v>
      </c>
      <c r="D119" s="3" t="n">
        <v>2024</v>
      </c>
      <c r="E119" s="3" t="s">
        <v>140</v>
      </c>
      <c r="F119" s="3" t="s">
        <v>364</v>
      </c>
      <c r="G119" s="3" t="s">
        <v>102</v>
      </c>
      <c r="H119" s="3" t="s">
        <v>141</v>
      </c>
      <c r="I119" s="3" t="str">
        <f aca="false">IF(H119="","",IFERROR(INDEX(Codes!$B$2:$B$30,MATCH(H119,Codes!$A$2:$A$30,0)),""))</f>
        <v>Exclude: AI, simulation, or hardware only; no living neural substrate</v>
      </c>
      <c r="J119" s="3"/>
      <c r="K119" s="8"/>
      <c r="L119" s="9" t="str">
        <f aca="false">IF(K119="","",IF(K119=G119,"Y","N"))</f>
        <v/>
      </c>
    </row>
    <row r="120" customFormat="false" ht="23.85" hidden="false" customHeight="false" outlineLevel="0" collapsed="false">
      <c r="A120" s="3" t="n">
        <v>115</v>
      </c>
      <c r="B120" s="3" t="s">
        <v>374</v>
      </c>
      <c r="C120" s="3" t="s">
        <v>375</v>
      </c>
      <c r="D120" s="3" t="n">
        <v>2023</v>
      </c>
      <c r="E120" s="3" t="s">
        <v>140</v>
      </c>
      <c r="F120" s="3" t="s">
        <v>364</v>
      </c>
      <c r="G120" s="3" t="s">
        <v>102</v>
      </c>
      <c r="H120" s="3" t="s">
        <v>141</v>
      </c>
      <c r="I120" s="3" t="str">
        <f aca="false">IF(H120="","",IFERROR(INDEX(Codes!$B$2:$B$30,MATCH(H120,Codes!$A$2:$A$30,0)),""))</f>
        <v>Exclude: AI, simulation, or hardware only; no living neural substrate</v>
      </c>
      <c r="J120" s="3"/>
      <c r="K120" s="8"/>
      <c r="L120" s="9" t="str">
        <f aca="false">IF(K120="","",IF(K120=G120,"Y","N"))</f>
        <v/>
      </c>
    </row>
    <row r="121" customFormat="false" ht="23.85" hidden="false" customHeight="false" outlineLevel="0" collapsed="false">
      <c r="A121" s="3" t="n">
        <v>116</v>
      </c>
      <c r="B121" s="3" t="s">
        <v>376</v>
      </c>
      <c r="C121" s="3" t="s">
        <v>377</v>
      </c>
      <c r="D121" s="3" t="n">
        <v>2024</v>
      </c>
      <c r="E121" s="3" t="s">
        <v>140</v>
      </c>
      <c r="F121" s="3" t="s">
        <v>364</v>
      </c>
      <c r="G121" s="3" t="s">
        <v>102</v>
      </c>
      <c r="H121" s="3" t="s">
        <v>141</v>
      </c>
      <c r="I121" s="3" t="str">
        <f aca="false">IF(H121="","",IFERROR(INDEX(Codes!$B$2:$B$30,MATCH(H121,Codes!$A$2:$A$30,0)),""))</f>
        <v>Exclude: AI, simulation, or hardware only; no living neural substrate</v>
      </c>
      <c r="J121" s="3"/>
      <c r="K121" s="8"/>
      <c r="L121" s="9" t="str">
        <f aca="false">IF(K121="","",IF(K121=G121,"Y","N"))</f>
        <v/>
      </c>
    </row>
    <row r="122" customFormat="false" ht="15" hidden="false" customHeight="false" outlineLevel="0" collapsed="false">
      <c r="A122" s="3" t="n">
        <v>117</v>
      </c>
      <c r="B122" s="3" t="s">
        <v>378</v>
      </c>
      <c r="C122" s="3" t="s">
        <v>379</v>
      </c>
      <c r="D122" s="3" t="n">
        <v>2023</v>
      </c>
      <c r="E122" s="3" t="s">
        <v>140</v>
      </c>
      <c r="F122" s="3" t="s">
        <v>364</v>
      </c>
      <c r="G122" s="3" t="s">
        <v>102</v>
      </c>
      <c r="H122" s="3" t="s">
        <v>141</v>
      </c>
      <c r="I122" s="3" t="str">
        <f aca="false">IF(H122="","",IFERROR(INDEX(Codes!$B$2:$B$30,MATCH(H122,Codes!$A$2:$A$30,0)),""))</f>
        <v>Exclude: AI, simulation, or hardware only; no living neural substrate</v>
      </c>
      <c r="J122" s="3"/>
      <c r="K122" s="8"/>
      <c r="L122" s="9" t="str">
        <f aca="false">IF(K122="","",IF(K122=G122,"Y","N"))</f>
        <v/>
      </c>
    </row>
    <row r="123" customFormat="false" ht="23.85" hidden="false" customHeight="false" outlineLevel="0" collapsed="false">
      <c r="A123" s="3" t="n">
        <v>118</v>
      </c>
      <c r="B123" s="3" t="s">
        <v>380</v>
      </c>
      <c r="C123" s="3" t="s">
        <v>381</v>
      </c>
      <c r="D123" s="3" t="n">
        <v>2024</v>
      </c>
      <c r="E123" s="3" t="s">
        <v>140</v>
      </c>
      <c r="F123" s="3" t="s">
        <v>364</v>
      </c>
      <c r="G123" s="3" t="s">
        <v>102</v>
      </c>
      <c r="H123" s="3" t="s">
        <v>141</v>
      </c>
      <c r="I123" s="3" t="str">
        <f aca="false">IF(H123="","",IFERROR(INDEX(Codes!$B$2:$B$30,MATCH(H123,Codes!$A$2:$A$30,0)),""))</f>
        <v>Exclude: AI, simulation, or hardware only; no living neural substrate</v>
      </c>
      <c r="J123" s="3" t="s">
        <v>382</v>
      </c>
      <c r="K123" s="8"/>
      <c r="L123" s="9" t="str">
        <f aca="false">IF(K123="","",IF(K123=G123,"Y","N"))</f>
        <v/>
      </c>
    </row>
    <row r="124" customFormat="false" ht="23.85" hidden="false" customHeight="false" outlineLevel="0" collapsed="false">
      <c r="A124" s="3" t="n">
        <v>119</v>
      </c>
      <c r="B124" s="3" t="s">
        <v>383</v>
      </c>
      <c r="C124" s="3" t="s">
        <v>384</v>
      </c>
      <c r="D124" s="3" t="n">
        <v>2022</v>
      </c>
      <c r="E124" s="3" t="s">
        <v>140</v>
      </c>
      <c r="F124" s="3" t="s">
        <v>364</v>
      </c>
      <c r="G124" s="3" t="s">
        <v>102</v>
      </c>
      <c r="H124" s="3" t="s">
        <v>141</v>
      </c>
      <c r="I124" s="3" t="str">
        <f aca="false">IF(H124="","",IFERROR(INDEX(Codes!$B$2:$B$30,MATCH(H124,Codes!$A$2:$A$30,0)),""))</f>
        <v>Exclude: AI, simulation, or hardware only; no living neural substrate</v>
      </c>
      <c r="J124" s="3"/>
      <c r="K124" s="8"/>
      <c r="L124" s="9" t="str">
        <f aca="false">IF(K124="","",IF(K124=G124,"Y","N"))</f>
        <v/>
      </c>
    </row>
    <row r="125" customFormat="false" ht="15" hidden="false" customHeight="false" outlineLevel="0" collapsed="false">
      <c r="A125" s="3" t="n">
        <v>120</v>
      </c>
      <c r="B125" s="3" t="s">
        <v>385</v>
      </c>
      <c r="C125" s="3" t="s">
        <v>386</v>
      </c>
      <c r="D125" s="3" t="n">
        <v>2022</v>
      </c>
      <c r="E125" s="3" t="s">
        <v>140</v>
      </c>
      <c r="F125" s="3" t="s">
        <v>364</v>
      </c>
      <c r="G125" s="3" t="s">
        <v>102</v>
      </c>
      <c r="H125" s="3" t="s">
        <v>141</v>
      </c>
      <c r="I125" s="3" t="str">
        <f aca="false">IF(H125="","",IFERROR(INDEX(Codes!$B$2:$B$30,MATCH(H125,Codes!$A$2:$A$30,0)),""))</f>
        <v>Exclude: AI, simulation, or hardware only; no living neural substrate</v>
      </c>
      <c r="J125" s="3"/>
      <c r="K125" s="8"/>
      <c r="L125" s="9" t="str">
        <f aca="false">IF(K125="","",IF(K125=G125,"Y","N"))</f>
        <v/>
      </c>
    </row>
    <row r="126" customFormat="false" ht="23.85" hidden="false" customHeight="false" outlineLevel="0" collapsed="false">
      <c r="A126" s="3" t="n">
        <v>121</v>
      </c>
      <c r="B126" s="3" t="s">
        <v>387</v>
      </c>
      <c r="C126" s="3" t="s">
        <v>388</v>
      </c>
      <c r="D126" s="3" t="n">
        <v>2024</v>
      </c>
      <c r="E126" s="3" t="s">
        <v>140</v>
      </c>
      <c r="F126" s="3" t="s">
        <v>364</v>
      </c>
      <c r="G126" s="3" t="s">
        <v>102</v>
      </c>
      <c r="H126" s="3" t="s">
        <v>141</v>
      </c>
      <c r="I126" s="3" t="str">
        <f aca="false">IF(H126="","",IFERROR(INDEX(Codes!$B$2:$B$30,MATCH(H126,Codes!$A$2:$A$30,0)),""))</f>
        <v>Exclude: AI, simulation, or hardware only; no living neural substrate</v>
      </c>
      <c r="J126" s="3" t="s">
        <v>389</v>
      </c>
      <c r="K126" s="8"/>
      <c r="L126" s="9" t="str">
        <f aca="false">IF(K126="","",IF(K126=G126,"Y","N"))</f>
        <v/>
      </c>
    </row>
    <row r="127" customFormat="false" ht="23.85" hidden="false" customHeight="false" outlineLevel="0" collapsed="false">
      <c r="A127" s="3" t="n">
        <v>122</v>
      </c>
      <c r="B127" s="3" t="s">
        <v>390</v>
      </c>
      <c r="C127" s="3" t="s">
        <v>391</v>
      </c>
      <c r="D127" s="3" t="n">
        <v>2022</v>
      </c>
      <c r="E127" s="3" t="s">
        <v>140</v>
      </c>
      <c r="F127" s="3" t="s">
        <v>364</v>
      </c>
      <c r="G127" s="3" t="s">
        <v>123</v>
      </c>
      <c r="H127" s="3" t="s">
        <v>350</v>
      </c>
      <c r="I127" s="3" t="str">
        <f aca="false">IF(H127="","",IFERROR(INDEX(Codes!$B$2:$B$30,MATCH(H127,Codes!$A$2:$A$30,0)),""))</f>
        <v>Context: comparator literature (e.g., AI/neuromorphic energy and sample-efficiency baselines)</v>
      </c>
      <c r="J127" s="3" t="s">
        <v>392</v>
      </c>
      <c r="K127" s="8"/>
      <c r="L127" s="9" t="str">
        <f aca="false">IF(K127="","",IF(K127=G127,"Y","N"))</f>
        <v/>
      </c>
    </row>
    <row r="128" customFormat="false" ht="15" hidden="false" customHeight="false" outlineLevel="0" collapsed="false">
      <c r="A128" s="3" t="n">
        <v>123</v>
      </c>
      <c r="B128" s="3" t="s">
        <v>393</v>
      </c>
      <c r="C128" s="3" t="s">
        <v>394</v>
      </c>
      <c r="D128" s="3" t="n">
        <v>2025</v>
      </c>
      <c r="E128" s="3" t="s">
        <v>140</v>
      </c>
      <c r="F128" s="3" t="s">
        <v>364</v>
      </c>
      <c r="G128" s="3" t="s">
        <v>102</v>
      </c>
      <c r="H128" s="3" t="s">
        <v>141</v>
      </c>
      <c r="I128" s="3" t="str">
        <f aca="false">IF(H128="","",IFERROR(INDEX(Codes!$B$2:$B$30,MATCH(H128,Codes!$A$2:$A$30,0)),""))</f>
        <v>Exclude: AI, simulation, or hardware only; no living neural substrate</v>
      </c>
      <c r="J128" s="3"/>
      <c r="K128" s="8"/>
      <c r="L128" s="9" t="str">
        <f aca="false">IF(K128="","",IF(K128=G128,"Y","N"))</f>
        <v/>
      </c>
    </row>
    <row r="129" customFormat="false" ht="15" hidden="false" customHeight="false" outlineLevel="0" collapsed="false">
      <c r="A129" s="3" t="n">
        <v>124</v>
      </c>
      <c r="B129" s="3" t="s">
        <v>395</v>
      </c>
      <c r="C129" s="3" t="s">
        <v>396</v>
      </c>
      <c r="D129" s="3" t="n">
        <v>2023</v>
      </c>
      <c r="E129" s="3" t="s">
        <v>140</v>
      </c>
      <c r="F129" s="3" t="s">
        <v>364</v>
      </c>
      <c r="G129" s="3" t="s">
        <v>102</v>
      </c>
      <c r="H129" s="3" t="s">
        <v>141</v>
      </c>
      <c r="I129" s="3" t="str">
        <f aca="false">IF(H129="","",IFERROR(INDEX(Codes!$B$2:$B$30,MATCH(H129,Codes!$A$2:$A$30,0)),""))</f>
        <v>Exclude: AI, simulation, or hardware only; no living neural substrate</v>
      </c>
      <c r="J129" s="3"/>
      <c r="K129" s="8"/>
      <c r="L129" s="9" t="str">
        <f aca="false">IF(K129="","",IF(K129=G129,"Y","N"))</f>
        <v/>
      </c>
    </row>
    <row r="130" customFormat="false" ht="15" hidden="false" customHeight="false" outlineLevel="0" collapsed="false">
      <c r="A130" s="3" t="n">
        <v>125</v>
      </c>
      <c r="B130" s="3" t="s">
        <v>397</v>
      </c>
      <c r="C130" s="3" t="s">
        <v>398</v>
      </c>
      <c r="D130" s="3" t="n">
        <v>2025</v>
      </c>
      <c r="E130" s="3" t="s">
        <v>140</v>
      </c>
      <c r="F130" s="3" t="s">
        <v>364</v>
      </c>
      <c r="G130" s="3" t="s">
        <v>102</v>
      </c>
      <c r="H130" s="3" t="s">
        <v>141</v>
      </c>
      <c r="I130" s="3" t="str">
        <f aca="false">IF(H130="","",IFERROR(INDEX(Codes!$B$2:$B$30,MATCH(H130,Codes!$A$2:$A$30,0)),""))</f>
        <v>Exclude: AI, simulation, or hardware only; no living neural substrate</v>
      </c>
      <c r="J130" s="3"/>
      <c r="K130" s="8"/>
      <c r="L130" s="9" t="str">
        <f aca="false">IF(K130="","",IF(K130=G130,"Y","N"))</f>
        <v/>
      </c>
    </row>
    <row r="131" customFormat="false" ht="15" hidden="false" customHeight="false" outlineLevel="0" collapsed="false">
      <c r="A131" s="3" t="n">
        <v>126</v>
      </c>
      <c r="B131" s="3" t="s">
        <v>399</v>
      </c>
      <c r="C131" s="3" t="s">
        <v>400</v>
      </c>
      <c r="D131" s="3" t="n">
        <v>2024</v>
      </c>
      <c r="E131" s="3" t="s">
        <v>140</v>
      </c>
      <c r="F131" s="3" t="s">
        <v>364</v>
      </c>
      <c r="G131" s="3" t="s">
        <v>102</v>
      </c>
      <c r="H131" s="3" t="s">
        <v>141</v>
      </c>
      <c r="I131" s="3" t="str">
        <f aca="false">IF(H131="","",IFERROR(INDEX(Codes!$B$2:$B$30,MATCH(H131,Codes!$A$2:$A$30,0)),""))</f>
        <v>Exclude: AI, simulation, or hardware only; no living neural substrate</v>
      </c>
      <c r="J131" s="3"/>
      <c r="K131" s="8"/>
      <c r="L131" s="9" t="str">
        <f aca="false">IF(K131="","",IF(K131=G131,"Y","N"))</f>
        <v/>
      </c>
    </row>
    <row r="132" customFormat="false" ht="23.85" hidden="false" customHeight="false" outlineLevel="0" collapsed="false">
      <c r="A132" s="3" t="n">
        <v>127</v>
      </c>
      <c r="B132" s="3" t="s">
        <v>401</v>
      </c>
      <c r="C132" s="3" t="s">
        <v>402</v>
      </c>
      <c r="D132" s="3" t="n">
        <v>2026</v>
      </c>
      <c r="E132" s="3" t="s">
        <v>70</v>
      </c>
      <c r="F132" s="3" t="s">
        <v>364</v>
      </c>
      <c r="G132" s="3" t="s">
        <v>72</v>
      </c>
      <c r="H132" s="3" t="s">
        <v>73</v>
      </c>
      <c r="I132" s="3" t="str">
        <f aca="false">IF(H132="","",IFERROR(INDEX(Codes!$B$2:$B$30,MATCH(H132,Codes!$A$2:$A$30,0)),""))</f>
        <v>Include: empirical paper with a computational, learning, or efficiency claim about living neural tissue as a substrate</v>
      </c>
      <c r="J132" s="3" t="s">
        <v>403</v>
      </c>
      <c r="K132" s="8"/>
      <c r="L132" s="9" t="str">
        <f aca="false">IF(K132="","",IF(K132=G132,"Y","N"))</f>
        <v/>
      </c>
    </row>
    <row r="133" customFormat="false" ht="15" hidden="false" customHeight="false" outlineLevel="0" collapsed="false">
      <c r="A133" s="3" t="n">
        <v>128</v>
      </c>
      <c r="B133" s="3" t="s">
        <v>404</v>
      </c>
      <c r="C133" s="3" t="s">
        <v>405</v>
      </c>
      <c r="D133" s="3" t="n">
        <v>2026</v>
      </c>
      <c r="E133" s="3" t="s">
        <v>140</v>
      </c>
      <c r="F133" s="3" t="s">
        <v>364</v>
      </c>
      <c r="G133" s="3" t="s">
        <v>102</v>
      </c>
      <c r="H133" s="3" t="s">
        <v>141</v>
      </c>
      <c r="I133" s="3" t="str">
        <f aca="false">IF(H133="","",IFERROR(INDEX(Codes!$B$2:$B$30,MATCH(H133,Codes!$A$2:$A$30,0)),""))</f>
        <v>Exclude: AI, simulation, or hardware only; no living neural substrate</v>
      </c>
      <c r="J133" s="3" t="s">
        <v>406</v>
      </c>
      <c r="K133" s="8"/>
      <c r="L133" s="9" t="str">
        <f aca="false">IF(K133="","",IF(K133=G133,"Y","N"))</f>
        <v/>
      </c>
    </row>
    <row r="134" customFormat="false" ht="15" hidden="false" customHeight="false" outlineLevel="0" collapsed="false">
      <c r="A134" s="3" t="n">
        <v>129</v>
      </c>
      <c r="B134" s="3" t="s">
        <v>407</v>
      </c>
      <c r="C134" s="3" t="s">
        <v>408</v>
      </c>
      <c r="D134" s="3" t="n">
        <v>2020</v>
      </c>
      <c r="E134" s="3" t="s">
        <v>140</v>
      </c>
      <c r="F134" s="3" t="s">
        <v>364</v>
      </c>
      <c r="G134" s="3" t="s">
        <v>102</v>
      </c>
      <c r="H134" s="3" t="s">
        <v>141</v>
      </c>
      <c r="I134" s="3" t="str">
        <f aca="false">IF(H134="","",IFERROR(INDEX(Codes!$B$2:$B$30,MATCH(H134,Codes!$A$2:$A$30,0)),""))</f>
        <v>Exclude: AI, simulation, or hardware only; no living neural substrate</v>
      </c>
      <c r="J134" s="3"/>
      <c r="K134" s="8"/>
      <c r="L134" s="9" t="str">
        <f aca="false">IF(K134="","",IF(K134=G134,"Y","N"))</f>
        <v/>
      </c>
    </row>
    <row r="135" customFormat="false" ht="15" hidden="false" customHeight="false" outlineLevel="0" collapsed="false">
      <c r="A135" s="3" t="n">
        <v>130</v>
      </c>
      <c r="B135" s="3" t="s">
        <v>409</v>
      </c>
      <c r="C135" s="3" t="s">
        <v>410</v>
      </c>
      <c r="D135" s="3" t="n">
        <v>2024</v>
      </c>
      <c r="E135" s="3" t="s">
        <v>140</v>
      </c>
      <c r="F135" s="3" t="s">
        <v>364</v>
      </c>
      <c r="G135" s="3" t="s">
        <v>102</v>
      </c>
      <c r="H135" s="3" t="s">
        <v>141</v>
      </c>
      <c r="I135" s="3" t="str">
        <f aca="false">IF(H135="","",IFERROR(INDEX(Codes!$B$2:$B$30,MATCH(H135,Codes!$A$2:$A$30,0)),""))</f>
        <v>Exclude: AI, simulation, or hardware only; no living neural substrate</v>
      </c>
      <c r="J135" s="3"/>
      <c r="K135" s="8"/>
      <c r="L135" s="9" t="str">
        <f aca="false">IF(K135="","",IF(K135=G135,"Y","N"))</f>
        <v/>
      </c>
    </row>
    <row r="136" customFormat="false" ht="15" hidden="false" customHeight="false" outlineLevel="0" collapsed="false">
      <c r="A136" s="3" t="n">
        <v>131</v>
      </c>
      <c r="B136" s="3" t="s">
        <v>411</v>
      </c>
      <c r="C136" s="3" t="s">
        <v>412</v>
      </c>
      <c r="D136" s="3" t="n">
        <v>2020</v>
      </c>
      <c r="E136" s="3" t="s">
        <v>140</v>
      </c>
      <c r="F136" s="3" t="s">
        <v>364</v>
      </c>
      <c r="G136" s="3" t="s">
        <v>102</v>
      </c>
      <c r="H136" s="3" t="s">
        <v>141</v>
      </c>
      <c r="I136" s="3" t="str">
        <f aca="false">IF(H136="","",IFERROR(INDEX(Codes!$B$2:$B$30,MATCH(H136,Codes!$A$2:$A$30,0)),""))</f>
        <v>Exclude: AI, simulation, or hardware only; no living neural substrate</v>
      </c>
      <c r="J136" s="3"/>
      <c r="K136" s="8"/>
      <c r="L136" s="9" t="str">
        <f aca="false">IF(K136="","",IF(K136=G136,"Y","N"))</f>
        <v/>
      </c>
    </row>
    <row r="137" customFormat="false" ht="23.85" hidden="false" customHeight="false" outlineLevel="0" collapsed="false">
      <c r="A137" s="3" t="n">
        <v>132</v>
      </c>
      <c r="B137" s="3" t="s">
        <v>413</v>
      </c>
      <c r="C137" s="3" t="s">
        <v>414</v>
      </c>
      <c r="D137" s="3" t="n">
        <v>2021</v>
      </c>
      <c r="E137" s="3" t="s">
        <v>193</v>
      </c>
      <c r="F137" s="3" t="s">
        <v>364</v>
      </c>
      <c r="G137" s="3" t="s">
        <v>102</v>
      </c>
      <c r="H137" s="3" t="s">
        <v>145</v>
      </c>
      <c r="I137" s="3" t="str">
        <f aca="false">IF(H137="","",IFERROR(INDEX(Codes!$B$2:$B$30,MATCH(H137,Codes!$A$2:$A$30,0)),""))</f>
        <v>Exclude: no computational, learning, or efficiency claim (disease modeling, tools, engineering, theory)</v>
      </c>
      <c r="J137" s="3" t="s">
        <v>415</v>
      </c>
      <c r="K137" s="8"/>
      <c r="L137" s="9" t="str">
        <f aca="false">IF(K137="","",IF(K137=G137,"Y","N"))</f>
        <v/>
      </c>
    </row>
    <row r="138" customFormat="false" ht="15" hidden="false" customHeight="false" outlineLevel="0" collapsed="false">
      <c r="A138" s="3" t="n">
        <v>133</v>
      </c>
      <c r="B138" s="3" t="s">
        <v>416</v>
      </c>
      <c r="C138" s="3" t="s">
        <v>417</v>
      </c>
      <c r="D138" s="3" t="n">
        <v>2024</v>
      </c>
      <c r="E138" s="3" t="s">
        <v>140</v>
      </c>
      <c r="F138" s="3" t="s">
        <v>364</v>
      </c>
      <c r="G138" s="3" t="s">
        <v>102</v>
      </c>
      <c r="H138" s="3" t="s">
        <v>141</v>
      </c>
      <c r="I138" s="3" t="str">
        <f aca="false">IF(H138="","",IFERROR(INDEX(Codes!$B$2:$B$30,MATCH(H138,Codes!$A$2:$A$30,0)),""))</f>
        <v>Exclude: AI, simulation, or hardware only; no living neural substrate</v>
      </c>
      <c r="J138" s="3"/>
      <c r="K138" s="8"/>
      <c r="L138" s="9" t="str">
        <f aca="false">IF(K138="","",IF(K138=G138,"Y","N"))</f>
        <v/>
      </c>
    </row>
    <row r="139" customFormat="false" ht="15" hidden="false" customHeight="false" outlineLevel="0" collapsed="false">
      <c r="A139" s="3" t="n">
        <v>134</v>
      </c>
      <c r="B139" s="3" t="s">
        <v>418</v>
      </c>
      <c r="C139" s="3" t="s">
        <v>419</v>
      </c>
      <c r="D139" s="3" t="n">
        <v>2026</v>
      </c>
      <c r="E139" s="3" t="s">
        <v>121</v>
      </c>
      <c r="F139" s="3" t="s">
        <v>420</v>
      </c>
      <c r="G139" s="3" t="s">
        <v>102</v>
      </c>
      <c r="H139" s="3" t="s">
        <v>173</v>
      </c>
      <c r="I139" s="3" t="str">
        <f aca="false">IF(H139="","",IFERROR(INDEX(Codes!$B$2:$B$30,MATCH(H139,Codes!$A$2:$A$30,0)),""))</f>
        <v>Exclude: brain-organoid ethics not specific to computing / OI</v>
      </c>
      <c r="J139" s="3" t="s">
        <v>421</v>
      </c>
      <c r="K139" s="8"/>
      <c r="L139" s="9" t="str">
        <f aca="false">IF(K139="","",IF(K139=G139,"Y","N"))</f>
        <v/>
      </c>
    </row>
    <row r="140" customFormat="false" ht="23.85" hidden="false" customHeight="false" outlineLevel="0" collapsed="false">
      <c r="A140" s="3" t="n">
        <v>135</v>
      </c>
      <c r="B140" s="3" t="s">
        <v>422</v>
      </c>
      <c r="C140" s="3" t="s">
        <v>423</v>
      </c>
      <c r="D140" s="3" t="n">
        <v>2023</v>
      </c>
      <c r="E140" s="3" t="s">
        <v>121</v>
      </c>
      <c r="F140" s="3" t="s">
        <v>420</v>
      </c>
      <c r="G140" s="3" t="s">
        <v>102</v>
      </c>
      <c r="H140" s="3" t="s">
        <v>173</v>
      </c>
      <c r="I140" s="3" t="str">
        <f aca="false">IF(H140="","",IFERROR(INDEX(Codes!$B$2:$B$30,MATCH(H140,Codes!$A$2:$A$30,0)),""))</f>
        <v>Exclude: brain-organoid ethics not specific to computing / OI</v>
      </c>
      <c r="J140" s="3"/>
      <c r="K140" s="8"/>
      <c r="L140" s="9" t="str">
        <f aca="false">IF(K140="","",IF(K140=G140,"Y","N"))</f>
        <v/>
      </c>
    </row>
    <row r="141" customFormat="false" ht="15" hidden="false" customHeight="false" outlineLevel="0" collapsed="false">
      <c r="A141" s="3" t="n">
        <v>136</v>
      </c>
      <c r="B141" s="3" t="s">
        <v>424</v>
      </c>
      <c r="C141" s="3" t="s">
        <v>425</v>
      </c>
      <c r="D141" s="3" t="n">
        <v>2024</v>
      </c>
      <c r="E141" s="3" t="s">
        <v>121</v>
      </c>
      <c r="F141" s="3" t="s">
        <v>420</v>
      </c>
      <c r="G141" s="3" t="s">
        <v>102</v>
      </c>
      <c r="H141" s="3" t="s">
        <v>173</v>
      </c>
      <c r="I141" s="3" t="str">
        <f aca="false">IF(H141="","",IFERROR(INDEX(Codes!$B$2:$B$30,MATCH(H141,Codes!$A$2:$A$30,0)),""))</f>
        <v>Exclude: brain-organoid ethics not specific to computing / OI</v>
      </c>
      <c r="J141" s="3"/>
      <c r="K141" s="8"/>
      <c r="L141" s="9" t="str">
        <f aca="false">IF(K141="","",IF(K141=G141,"Y","N"))</f>
        <v/>
      </c>
    </row>
    <row r="142" customFormat="false" ht="15" hidden="false" customHeight="false" outlineLevel="0" collapsed="false">
      <c r="A142" s="3" t="n">
        <v>137</v>
      </c>
      <c r="B142" s="3" t="s">
        <v>426</v>
      </c>
      <c r="C142" s="3" t="s">
        <v>427</v>
      </c>
      <c r="D142" s="3" t="n">
        <v>2023</v>
      </c>
      <c r="E142" s="3" t="s">
        <v>121</v>
      </c>
      <c r="F142" s="3" t="s">
        <v>420</v>
      </c>
      <c r="G142" s="3" t="s">
        <v>102</v>
      </c>
      <c r="H142" s="3" t="s">
        <v>173</v>
      </c>
      <c r="I142" s="3" t="str">
        <f aca="false">IF(H142="","",IFERROR(INDEX(Codes!$B$2:$B$30,MATCH(H142,Codes!$A$2:$A$30,0)),""))</f>
        <v>Exclude: brain-organoid ethics not specific to computing / OI</v>
      </c>
      <c r="J142" s="3"/>
      <c r="K142" s="8"/>
      <c r="L142" s="9" t="str">
        <f aca="false">IF(K142="","",IF(K142=G142,"Y","N"))</f>
        <v/>
      </c>
    </row>
    <row r="143" customFormat="false" ht="15" hidden="false" customHeight="false" outlineLevel="0" collapsed="false">
      <c r="A143" s="3" t="n">
        <v>138</v>
      </c>
      <c r="B143" s="3" t="s">
        <v>428</v>
      </c>
      <c r="C143" s="3" t="s">
        <v>429</v>
      </c>
      <c r="D143" s="3" t="n">
        <v>2025</v>
      </c>
      <c r="E143" s="3" t="s">
        <v>121</v>
      </c>
      <c r="F143" s="3" t="s">
        <v>430</v>
      </c>
      <c r="G143" s="3" t="s">
        <v>102</v>
      </c>
      <c r="H143" s="3" t="s">
        <v>173</v>
      </c>
      <c r="I143" s="3" t="str">
        <f aca="false">IF(H143="","",IFERROR(INDEX(Codes!$B$2:$B$30,MATCH(H143,Codes!$A$2:$A$30,0)),""))</f>
        <v>Exclude: brain-organoid ethics not specific to computing / OI</v>
      </c>
      <c r="J143" s="3" t="s">
        <v>431</v>
      </c>
      <c r="K143" s="8"/>
      <c r="L143" s="9" t="str">
        <f aca="false">IF(K143="","",IF(K143=G143,"Y","N"))</f>
        <v/>
      </c>
    </row>
    <row r="144" customFormat="false" ht="23.85" hidden="false" customHeight="false" outlineLevel="0" collapsed="false">
      <c r="A144" s="3" t="n">
        <v>139</v>
      </c>
      <c r="B144" s="3" t="s">
        <v>432</v>
      </c>
      <c r="C144" s="3" t="s">
        <v>433</v>
      </c>
      <c r="D144" s="3" t="n">
        <v>2025</v>
      </c>
      <c r="E144" s="3" t="s">
        <v>121</v>
      </c>
      <c r="F144" s="3" t="s">
        <v>430</v>
      </c>
      <c r="G144" s="3" t="s">
        <v>102</v>
      </c>
      <c r="H144" s="3" t="s">
        <v>173</v>
      </c>
      <c r="I144" s="3" t="str">
        <f aca="false">IF(H144="","",IFERROR(INDEX(Codes!$B$2:$B$30,MATCH(H144,Codes!$A$2:$A$30,0)),""))</f>
        <v>Exclude: brain-organoid ethics not specific to computing / OI</v>
      </c>
      <c r="J144" s="3"/>
      <c r="K144" s="8"/>
      <c r="L144" s="9" t="str">
        <f aca="false">IF(K144="","",IF(K144=G144,"Y","N"))</f>
        <v/>
      </c>
    </row>
    <row r="145" customFormat="false" ht="23.85" hidden="false" customHeight="false" outlineLevel="0" collapsed="false">
      <c r="A145" s="3" t="n">
        <v>140</v>
      </c>
      <c r="B145" s="3" t="s">
        <v>434</v>
      </c>
      <c r="C145" s="3" t="s">
        <v>435</v>
      </c>
      <c r="D145" s="3" t="n">
        <v>2024</v>
      </c>
      <c r="E145" s="3" t="s">
        <v>121</v>
      </c>
      <c r="F145" s="3" t="s">
        <v>420</v>
      </c>
      <c r="G145" s="3" t="s">
        <v>102</v>
      </c>
      <c r="H145" s="3" t="s">
        <v>173</v>
      </c>
      <c r="I145" s="3" t="str">
        <f aca="false">IF(H145="","",IFERROR(INDEX(Codes!$B$2:$B$30,MATCH(H145,Codes!$A$2:$A$30,0)),""))</f>
        <v>Exclude: brain-organoid ethics not specific to computing / OI</v>
      </c>
      <c r="J145" s="3"/>
      <c r="K145" s="8"/>
      <c r="L145" s="9" t="str">
        <f aca="false">IF(K145="","",IF(K145=G145,"Y","N"))</f>
        <v/>
      </c>
    </row>
    <row r="146" customFormat="false" ht="15" hidden="false" customHeight="false" outlineLevel="0" collapsed="false">
      <c r="A146" s="3" t="n">
        <v>141</v>
      </c>
      <c r="B146" s="3" t="s">
        <v>436</v>
      </c>
      <c r="C146" s="3" t="s">
        <v>437</v>
      </c>
      <c r="D146" s="3" t="n">
        <v>2022</v>
      </c>
      <c r="E146" s="3" t="s">
        <v>121</v>
      </c>
      <c r="F146" s="3" t="s">
        <v>420</v>
      </c>
      <c r="G146" s="3" t="s">
        <v>102</v>
      </c>
      <c r="H146" s="3" t="s">
        <v>173</v>
      </c>
      <c r="I146" s="3" t="str">
        <f aca="false">IF(H146="","",IFERROR(INDEX(Codes!$B$2:$B$30,MATCH(H146,Codes!$A$2:$A$30,0)),""))</f>
        <v>Exclude: brain-organoid ethics not specific to computing / OI</v>
      </c>
      <c r="J146" s="3"/>
      <c r="K146" s="8"/>
      <c r="L146" s="9" t="str">
        <f aca="false">IF(K146="","",IF(K146=G146,"Y","N"))</f>
        <v/>
      </c>
    </row>
    <row r="147" customFormat="false" ht="15" hidden="false" customHeight="false" outlineLevel="0" collapsed="false">
      <c r="A147" s="3" t="n">
        <v>142</v>
      </c>
      <c r="B147" s="3" t="s">
        <v>438</v>
      </c>
      <c r="C147" s="3" t="s">
        <v>439</v>
      </c>
      <c r="D147" s="3" t="n">
        <v>2020</v>
      </c>
      <c r="E147" s="3" t="s">
        <v>121</v>
      </c>
      <c r="F147" s="3" t="s">
        <v>420</v>
      </c>
      <c r="G147" s="3" t="s">
        <v>102</v>
      </c>
      <c r="H147" s="3" t="s">
        <v>173</v>
      </c>
      <c r="I147" s="3" t="str">
        <f aca="false">IF(H147="","",IFERROR(INDEX(Codes!$B$2:$B$30,MATCH(H147,Codes!$A$2:$A$30,0)),""))</f>
        <v>Exclude: brain-organoid ethics not specific to computing / OI</v>
      </c>
      <c r="J147" s="3"/>
      <c r="K147" s="8"/>
      <c r="L147" s="9" t="str">
        <f aca="false">IF(K147="","",IF(K147=G147,"Y","N"))</f>
        <v/>
      </c>
    </row>
    <row r="148" customFormat="false" ht="15" hidden="false" customHeight="false" outlineLevel="0" collapsed="false">
      <c r="A148" s="3" t="n">
        <v>143</v>
      </c>
      <c r="B148" s="3" t="s">
        <v>440</v>
      </c>
      <c r="C148" s="3" t="s">
        <v>441</v>
      </c>
      <c r="D148" s="3" t="n">
        <v>2023</v>
      </c>
      <c r="E148" s="3" t="s">
        <v>121</v>
      </c>
      <c r="F148" s="3" t="s">
        <v>420</v>
      </c>
      <c r="G148" s="3" t="s">
        <v>102</v>
      </c>
      <c r="H148" s="3" t="s">
        <v>173</v>
      </c>
      <c r="I148" s="3" t="str">
        <f aca="false">IF(H148="","",IFERROR(INDEX(Codes!$B$2:$B$30,MATCH(H148,Codes!$A$2:$A$30,0)),""))</f>
        <v>Exclude: brain-organoid ethics not specific to computing / OI</v>
      </c>
      <c r="J148" s="3"/>
      <c r="K148" s="8"/>
      <c r="L148" s="9" t="str">
        <f aca="false">IF(K148="","",IF(K148=G148,"Y","N"))</f>
        <v/>
      </c>
    </row>
    <row r="149" customFormat="false" ht="23.85" hidden="false" customHeight="false" outlineLevel="0" collapsed="false">
      <c r="A149" s="3" t="n">
        <v>144</v>
      </c>
      <c r="B149" s="3" t="s">
        <v>442</v>
      </c>
      <c r="C149" s="3" t="s">
        <v>443</v>
      </c>
      <c r="D149" s="3" t="n">
        <v>2025</v>
      </c>
      <c r="E149" s="3" t="s">
        <v>121</v>
      </c>
      <c r="F149" s="3" t="s">
        <v>420</v>
      </c>
      <c r="G149" s="3" t="s">
        <v>123</v>
      </c>
      <c r="H149" s="3" t="s">
        <v>124</v>
      </c>
      <c r="I149" s="3" t="str">
        <f aca="false">IF(H149="","",IFERROR(INDEX(Codes!$B$2:$B$30,MATCH(H149,Codes!$A$2:$A$30,0)),""))</f>
        <v>Context: ethics or governance paper specific to organoid computing / OI (ethics arm, not scored on the main rubric)</v>
      </c>
      <c r="J149" s="3" t="s">
        <v>444</v>
      </c>
      <c r="K149" s="8"/>
      <c r="L149" s="9" t="str">
        <f aca="false">IF(K149="","",IF(K149=G149,"Y","N"))</f>
        <v/>
      </c>
    </row>
    <row r="150" customFormat="false" ht="23.85" hidden="false" customHeight="false" outlineLevel="0" collapsed="false">
      <c r="A150" s="3" t="n">
        <v>145</v>
      </c>
      <c r="B150" s="3" t="s">
        <v>445</v>
      </c>
      <c r="C150" s="3" t="s">
        <v>446</v>
      </c>
      <c r="D150" s="3" t="n">
        <v>2025</v>
      </c>
      <c r="E150" s="3" t="s">
        <v>121</v>
      </c>
      <c r="F150" s="3" t="s">
        <v>420</v>
      </c>
      <c r="G150" s="3" t="s">
        <v>102</v>
      </c>
      <c r="H150" s="3" t="s">
        <v>173</v>
      </c>
      <c r="I150" s="3" t="str">
        <f aca="false">IF(H150="","",IFERROR(INDEX(Codes!$B$2:$B$30,MATCH(H150,Codes!$A$2:$A$30,0)),""))</f>
        <v>Exclude: brain-organoid ethics not specific to computing / OI</v>
      </c>
      <c r="J150" s="3"/>
      <c r="K150" s="8"/>
      <c r="L150" s="9" t="str">
        <f aca="false">IF(K150="","",IF(K150=G150,"Y","N"))</f>
        <v/>
      </c>
    </row>
    <row r="151" customFormat="false" ht="23.85" hidden="false" customHeight="false" outlineLevel="0" collapsed="false">
      <c r="A151" s="3" t="n">
        <v>146</v>
      </c>
      <c r="B151" s="3" t="s">
        <v>447</v>
      </c>
      <c r="C151" s="3" t="s">
        <v>448</v>
      </c>
      <c r="D151" s="3" t="n">
        <v>2026</v>
      </c>
      <c r="E151" s="3" t="s">
        <v>121</v>
      </c>
      <c r="F151" s="3" t="s">
        <v>420</v>
      </c>
      <c r="G151" s="3" t="s">
        <v>123</v>
      </c>
      <c r="H151" s="3" t="s">
        <v>124</v>
      </c>
      <c r="I151" s="3" t="str">
        <f aca="false">IF(H151="","",IFERROR(INDEX(Codes!$B$2:$B$30,MATCH(H151,Codes!$A$2:$A$30,0)),""))</f>
        <v>Context: ethics or governance paper specific to organoid computing / OI (ethics arm, not scored on the main rubric)</v>
      </c>
      <c r="J151" s="3" t="s">
        <v>125</v>
      </c>
      <c r="K151" s="8"/>
      <c r="L151" s="9" t="str">
        <f aca="false">IF(K151="","",IF(K151=G151,"Y","N"))</f>
        <v/>
      </c>
    </row>
    <row r="152" customFormat="false" ht="15" hidden="false" customHeight="false" outlineLevel="0" collapsed="false">
      <c r="A152" s="3" t="n">
        <v>147</v>
      </c>
      <c r="B152" s="3" t="s">
        <v>449</v>
      </c>
      <c r="C152" s="3" t="s">
        <v>450</v>
      </c>
      <c r="D152" s="3" t="n">
        <v>2023</v>
      </c>
      <c r="E152" s="3" t="s">
        <v>121</v>
      </c>
      <c r="F152" s="3" t="s">
        <v>420</v>
      </c>
      <c r="G152" s="3" t="s">
        <v>102</v>
      </c>
      <c r="H152" s="3" t="s">
        <v>173</v>
      </c>
      <c r="I152" s="3" t="str">
        <f aca="false">IF(H152="","",IFERROR(INDEX(Codes!$B$2:$B$30,MATCH(H152,Codes!$A$2:$A$30,0)),""))</f>
        <v>Exclude: brain-organoid ethics not specific to computing / OI</v>
      </c>
      <c r="J152" s="3"/>
      <c r="K152" s="8"/>
      <c r="L152" s="9" t="str">
        <f aca="false">IF(K152="","",IF(K152=G152,"Y","N"))</f>
        <v/>
      </c>
    </row>
    <row r="153" customFormat="false" ht="23.85" hidden="false" customHeight="false" outlineLevel="0" collapsed="false">
      <c r="A153" s="3" t="n">
        <v>148</v>
      </c>
      <c r="B153" s="3" t="s">
        <v>451</v>
      </c>
      <c r="C153" s="3" t="s">
        <v>452</v>
      </c>
      <c r="D153" s="3" t="n">
        <v>2026</v>
      </c>
      <c r="E153" s="3" t="s">
        <v>121</v>
      </c>
      <c r="F153" s="3" t="s">
        <v>420</v>
      </c>
      <c r="G153" s="3" t="s">
        <v>123</v>
      </c>
      <c r="H153" s="3" t="s">
        <v>124</v>
      </c>
      <c r="I153" s="3" t="str">
        <f aca="false">IF(H153="","",IFERROR(INDEX(Codes!$B$2:$B$30,MATCH(H153,Codes!$A$2:$A$30,0)),""))</f>
        <v>Context: ethics or governance paper specific to organoid computing / OI (ethics arm, not scored on the main rubric)</v>
      </c>
      <c r="J153" s="3" t="s">
        <v>125</v>
      </c>
      <c r="K153" s="8"/>
      <c r="L153" s="9" t="str">
        <f aca="false">IF(K153="","",IF(K153=G153,"Y","N"))</f>
        <v/>
      </c>
    </row>
    <row r="154" customFormat="false" ht="15" hidden="false" customHeight="false" outlineLevel="0" collapsed="false">
      <c r="A154" s="3" t="n">
        <v>149</v>
      </c>
      <c r="B154" s="3" t="s">
        <v>453</v>
      </c>
      <c r="C154" s="3" t="s">
        <v>454</v>
      </c>
      <c r="D154" s="3" t="n">
        <v>2023</v>
      </c>
      <c r="E154" s="3" t="s">
        <v>121</v>
      </c>
      <c r="F154" s="3" t="s">
        <v>420</v>
      </c>
      <c r="G154" s="3" t="s">
        <v>102</v>
      </c>
      <c r="H154" s="3" t="s">
        <v>173</v>
      </c>
      <c r="I154" s="3" t="str">
        <f aca="false">IF(H154="","",IFERROR(INDEX(Codes!$B$2:$B$30,MATCH(H154,Codes!$A$2:$A$30,0)),""))</f>
        <v>Exclude: brain-organoid ethics not specific to computing / OI</v>
      </c>
      <c r="J154" s="3"/>
      <c r="K154" s="8"/>
      <c r="L154" s="9" t="str">
        <f aca="false">IF(K154="","",IF(K154=G154,"Y","N"))</f>
        <v/>
      </c>
    </row>
    <row r="155" customFormat="false" ht="23.85" hidden="false" customHeight="false" outlineLevel="0" collapsed="false">
      <c r="A155" s="3" t="n">
        <v>150</v>
      </c>
      <c r="B155" s="3" t="s">
        <v>455</v>
      </c>
      <c r="C155" s="3" t="s">
        <v>456</v>
      </c>
      <c r="D155" s="3" t="n">
        <v>2024</v>
      </c>
      <c r="E155" s="3" t="s">
        <v>121</v>
      </c>
      <c r="F155" s="3" t="s">
        <v>420</v>
      </c>
      <c r="G155" s="3" t="s">
        <v>123</v>
      </c>
      <c r="H155" s="3" t="s">
        <v>124</v>
      </c>
      <c r="I155" s="3" t="str">
        <f aca="false">IF(H155="","",IFERROR(INDEX(Codes!$B$2:$B$30,MATCH(H155,Codes!$A$2:$A$30,0)),""))</f>
        <v>Context: ethics or governance paper specific to organoid computing / OI (ethics arm, not scored on the main rubric)</v>
      </c>
      <c r="J155" s="3" t="s">
        <v>457</v>
      </c>
      <c r="K155" s="8"/>
      <c r="L155" s="9" t="str">
        <f aca="false">IF(K155="","",IF(K155=G155,"Y","N"))</f>
        <v/>
      </c>
    </row>
    <row r="156" customFormat="false" ht="15" hidden="false" customHeight="false" outlineLevel="0" collapsed="false">
      <c r="A156" s="3" t="n">
        <v>151</v>
      </c>
      <c r="B156" s="3" t="s">
        <v>458</v>
      </c>
      <c r="C156" s="3" t="s">
        <v>459</v>
      </c>
      <c r="D156" s="3" t="n">
        <v>2023</v>
      </c>
      <c r="E156" s="3" t="s">
        <v>121</v>
      </c>
      <c r="F156" s="3" t="s">
        <v>420</v>
      </c>
      <c r="G156" s="3" t="s">
        <v>102</v>
      </c>
      <c r="H156" s="3" t="s">
        <v>173</v>
      </c>
      <c r="I156" s="3" t="str">
        <f aca="false">IF(H156="","",IFERROR(INDEX(Codes!$B$2:$B$30,MATCH(H156,Codes!$A$2:$A$30,0)),""))</f>
        <v>Exclude: brain-organoid ethics not specific to computing / OI</v>
      </c>
      <c r="J156" s="3"/>
      <c r="K156" s="8"/>
      <c r="L156" s="9" t="str">
        <f aca="false">IF(K156="","",IF(K156=G156,"Y","N"))</f>
        <v/>
      </c>
    </row>
    <row r="157" customFormat="false" ht="15" hidden="false" customHeight="false" outlineLevel="0" collapsed="false">
      <c r="A157" s="3" t="n">
        <v>152</v>
      </c>
      <c r="B157" s="3" t="s">
        <v>460</v>
      </c>
      <c r="C157" s="3" t="s">
        <v>461</v>
      </c>
      <c r="D157" s="3" t="n">
        <v>2024</v>
      </c>
      <c r="E157" s="3" t="s">
        <v>121</v>
      </c>
      <c r="F157" s="3" t="s">
        <v>420</v>
      </c>
      <c r="G157" s="3" t="s">
        <v>102</v>
      </c>
      <c r="H157" s="3" t="s">
        <v>173</v>
      </c>
      <c r="I157" s="3" t="str">
        <f aca="false">IF(H157="","",IFERROR(INDEX(Codes!$B$2:$B$30,MATCH(H157,Codes!$A$2:$A$30,0)),""))</f>
        <v>Exclude: brain-organoid ethics not specific to computing / OI</v>
      </c>
      <c r="J157" s="3"/>
      <c r="K157" s="8"/>
      <c r="L157" s="9" t="str">
        <f aca="false">IF(K157="","",IF(K157=G157,"Y","N"))</f>
        <v/>
      </c>
    </row>
    <row r="158" customFormat="false" ht="15" hidden="false" customHeight="false" outlineLevel="0" collapsed="false">
      <c r="A158" s="3" t="n">
        <v>153</v>
      </c>
      <c r="B158" s="3" t="s">
        <v>462</v>
      </c>
      <c r="C158" s="3" t="s">
        <v>463</v>
      </c>
      <c r="D158" s="3" t="n">
        <v>2023</v>
      </c>
      <c r="E158" s="3" t="s">
        <v>121</v>
      </c>
      <c r="F158" s="3" t="s">
        <v>420</v>
      </c>
      <c r="G158" s="3" t="s">
        <v>102</v>
      </c>
      <c r="H158" s="3" t="s">
        <v>173</v>
      </c>
      <c r="I158" s="3" t="str">
        <f aca="false">IF(H158="","",IFERROR(INDEX(Codes!$B$2:$B$30,MATCH(H158,Codes!$A$2:$A$30,0)),""))</f>
        <v>Exclude: brain-organoid ethics not specific to computing / OI</v>
      </c>
      <c r="J158" s="3"/>
      <c r="K158" s="8"/>
      <c r="L158" s="9" t="str">
        <f aca="false">IF(K158="","",IF(K158=G158,"Y","N"))</f>
        <v/>
      </c>
    </row>
    <row r="159" customFormat="false" ht="23.85" hidden="false" customHeight="false" outlineLevel="0" collapsed="false">
      <c r="A159" s="3" t="n">
        <v>154</v>
      </c>
      <c r="B159" s="3" t="s">
        <v>464</v>
      </c>
      <c r="C159" s="3" t="s">
        <v>465</v>
      </c>
      <c r="D159" s="3" t="n">
        <v>2026</v>
      </c>
      <c r="E159" s="3" t="s">
        <v>121</v>
      </c>
      <c r="F159" s="3" t="s">
        <v>420</v>
      </c>
      <c r="G159" s="3" t="s">
        <v>102</v>
      </c>
      <c r="H159" s="3" t="s">
        <v>173</v>
      </c>
      <c r="I159" s="3" t="str">
        <f aca="false">IF(H159="","",IFERROR(INDEX(Codes!$B$2:$B$30,MATCH(H159,Codes!$A$2:$A$30,0)),""))</f>
        <v>Exclude: brain-organoid ethics not specific to computing / OI</v>
      </c>
      <c r="J159" s="3"/>
      <c r="K159" s="8"/>
      <c r="L159" s="9" t="str">
        <f aca="false">IF(K159="","",IF(K159=G159,"Y","N"))</f>
        <v/>
      </c>
    </row>
    <row r="160" customFormat="false" ht="15" hidden="false" customHeight="false" outlineLevel="0" collapsed="false">
      <c r="A160" s="3" t="n">
        <v>155</v>
      </c>
      <c r="B160" s="3" t="s">
        <v>466</v>
      </c>
      <c r="C160" s="3" t="s">
        <v>467</v>
      </c>
      <c r="D160" s="3" t="n">
        <v>2020</v>
      </c>
      <c r="E160" s="3" t="s">
        <v>121</v>
      </c>
      <c r="F160" s="3" t="s">
        <v>420</v>
      </c>
      <c r="G160" s="3" t="s">
        <v>102</v>
      </c>
      <c r="H160" s="3" t="s">
        <v>173</v>
      </c>
      <c r="I160" s="3" t="str">
        <f aca="false">IF(H160="","",IFERROR(INDEX(Codes!$B$2:$B$30,MATCH(H160,Codes!$A$2:$A$30,0)),""))</f>
        <v>Exclude: brain-organoid ethics not specific to computing / OI</v>
      </c>
      <c r="J160" s="3"/>
      <c r="K160" s="8"/>
      <c r="L160" s="9" t="str">
        <f aca="false">IF(K160="","",IF(K160=G160,"Y","N"))</f>
        <v/>
      </c>
    </row>
    <row r="161" customFormat="false" ht="15" hidden="false" customHeight="false" outlineLevel="0" collapsed="false">
      <c r="A161" s="3" t="n">
        <v>156</v>
      </c>
      <c r="B161" s="3" t="s">
        <v>468</v>
      </c>
      <c r="C161" s="3" t="s">
        <v>469</v>
      </c>
      <c r="D161" s="3" t="n">
        <v>2022</v>
      </c>
      <c r="E161" s="3" t="s">
        <v>121</v>
      </c>
      <c r="F161" s="3" t="s">
        <v>420</v>
      </c>
      <c r="G161" s="3" t="s">
        <v>102</v>
      </c>
      <c r="H161" s="3" t="s">
        <v>173</v>
      </c>
      <c r="I161" s="3" t="str">
        <f aca="false">IF(H161="","",IFERROR(INDEX(Codes!$B$2:$B$30,MATCH(H161,Codes!$A$2:$A$30,0)),""))</f>
        <v>Exclude: brain-organoid ethics not specific to computing / OI</v>
      </c>
      <c r="J161" s="3"/>
      <c r="K161" s="8"/>
      <c r="L161" s="9" t="str">
        <f aca="false">IF(K161="","",IF(K161=G161,"Y","N"))</f>
        <v/>
      </c>
    </row>
    <row r="162" customFormat="false" ht="15" hidden="false" customHeight="false" outlineLevel="0" collapsed="false">
      <c r="A162" s="3" t="n">
        <v>157</v>
      </c>
      <c r="B162" s="3" t="s">
        <v>470</v>
      </c>
      <c r="C162" s="3" t="s">
        <v>471</v>
      </c>
      <c r="D162" s="3" t="n">
        <v>2025</v>
      </c>
      <c r="E162" s="3" t="s">
        <v>121</v>
      </c>
      <c r="F162" s="3" t="s">
        <v>420</v>
      </c>
      <c r="G162" s="3" t="s">
        <v>102</v>
      </c>
      <c r="H162" s="3" t="s">
        <v>173</v>
      </c>
      <c r="I162" s="3" t="str">
        <f aca="false">IF(H162="","",IFERROR(INDEX(Codes!$B$2:$B$30,MATCH(H162,Codes!$A$2:$A$30,0)),""))</f>
        <v>Exclude: brain-organoid ethics not specific to computing / OI</v>
      </c>
      <c r="J162" s="3"/>
      <c r="K162" s="8"/>
      <c r="L162" s="9" t="str">
        <f aca="false">IF(K162="","",IF(K162=G162,"Y","N"))</f>
        <v/>
      </c>
    </row>
    <row r="163" customFormat="false" ht="23.85" hidden="false" customHeight="false" outlineLevel="0" collapsed="false">
      <c r="A163" s="3" t="n">
        <v>158</v>
      </c>
      <c r="B163" s="3" t="s">
        <v>472</v>
      </c>
      <c r="C163" s="3" t="s">
        <v>473</v>
      </c>
      <c r="D163" s="3" t="n">
        <v>2026</v>
      </c>
      <c r="E163" s="3" t="s">
        <v>121</v>
      </c>
      <c r="F163" s="3" t="s">
        <v>420</v>
      </c>
      <c r="G163" s="3" t="s">
        <v>123</v>
      </c>
      <c r="H163" s="3" t="s">
        <v>124</v>
      </c>
      <c r="I163" s="3" t="str">
        <f aca="false">IF(H163="","",IFERROR(INDEX(Codes!$B$2:$B$30,MATCH(H163,Codes!$A$2:$A$30,0)),""))</f>
        <v>Context: ethics or governance paper specific to organoid computing / OI (ethics arm, not scored on the main rubric)</v>
      </c>
      <c r="J163" s="3" t="s">
        <v>125</v>
      </c>
      <c r="K163" s="8"/>
      <c r="L163" s="9" t="str">
        <f aca="false">IF(K163="","",IF(K163=G163,"Y","N"))</f>
        <v/>
      </c>
    </row>
    <row r="164" customFormat="false" ht="23.85" hidden="false" customHeight="false" outlineLevel="0" collapsed="false">
      <c r="A164" s="3" t="n">
        <v>159</v>
      </c>
      <c r="B164" s="3" t="s">
        <v>474</v>
      </c>
      <c r="C164" s="3" t="s">
        <v>475</v>
      </c>
      <c r="D164" s="3" t="n">
        <v>2020</v>
      </c>
      <c r="E164" s="3" t="s">
        <v>121</v>
      </c>
      <c r="F164" s="3" t="s">
        <v>420</v>
      </c>
      <c r="G164" s="3" t="s">
        <v>102</v>
      </c>
      <c r="H164" s="3" t="s">
        <v>173</v>
      </c>
      <c r="I164" s="3" t="str">
        <f aca="false">IF(H164="","",IFERROR(INDEX(Codes!$B$2:$B$30,MATCH(H164,Codes!$A$2:$A$30,0)),""))</f>
        <v>Exclude: brain-organoid ethics not specific to computing / OI</v>
      </c>
      <c r="J164" s="3"/>
      <c r="K164" s="8"/>
      <c r="L164" s="9" t="str">
        <f aca="false">IF(K164="","",IF(K164=G164,"Y","N"))</f>
        <v/>
      </c>
    </row>
    <row r="165" customFormat="false" ht="23.85" hidden="false" customHeight="false" outlineLevel="0" collapsed="false">
      <c r="A165" s="3" t="n">
        <v>160</v>
      </c>
      <c r="B165" s="3" t="s">
        <v>476</v>
      </c>
      <c r="C165" s="3" t="s">
        <v>477</v>
      </c>
      <c r="D165" s="3" t="n">
        <v>2025</v>
      </c>
      <c r="E165" s="3" t="s">
        <v>114</v>
      </c>
      <c r="F165" s="3" t="s">
        <v>478</v>
      </c>
      <c r="G165" s="3" t="s">
        <v>102</v>
      </c>
      <c r="H165" s="3" t="s">
        <v>145</v>
      </c>
      <c r="I165" s="3" t="str">
        <f aca="false">IF(H165="","",IFERROR(INDEX(Codes!$B$2:$B$30,MATCH(H165,Codes!$A$2:$A$30,0)),""))</f>
        <v>Exclude: no computational, learning, or efficiency claim (disease modeling, tools, engineering, theory)</v>
      </c>
      <c r="J165" s="3"/>
      <c r="K165" s="8"/>
      <c r="L165" s="9" t="str">
        <f aca="false">IF(K165="","",IF(K165=G165,"Y","N"))</f>
        <v/>
      </c>
    </row>
    <row r="166" customFormat="false" ht="23.85" hidden="false" customHeight="false" outlineLevel="0" collapsed="false">
      <c r="A166" s="3" t="n">
        <v>161</v>
      </c>
      <c r="B166" s="3" t="s">
        <v>479</v>
      </c>
      <c r="C166" s="3" t="s">
        <v>480</v>
      </c>
      <c r="D166" s="3" t="n">
        <v>2025</v>
      </c>
      <c r="E166" s="3" t="s">
        <v>88</v>
      </c>
      <c r="F166" s="3" t="s">
        <v>478</v>
      </c>
      <c r="G166" s="3" t="s">
        <v>102</v>
      </c>
      <c r="H166" s="3" t="s">
        <v>145</v>
      </c>
      <c r="I166" s="3" t="str">
        <f aca="false">IF(H166="","",IFERROR(INDEX(Codes!$B$2:$B$30,MATCH(H166,Codes!$A$2:$A$30,0)),""))</f>
        <v>Exclude: no computational, learning, or efficiency claim (disease modeling, tools, engineering, theory)</v>
      </c>
      <c r="J166" s="3"/>
      <c r="K166" s="8"/>
      <c r="L166" s="9" t="str">
        <f aca="false">IF(K166="","",IF(K166=G166,"Y","N"))</f>
        <v/>
      </c>
    </row>
    <row r="167" customFormat="false" ht="23.85" hidden="false" customHeight="false" outlineLevel="0" collapsed="false">
      <c r="A167" s="3" t="n">
        <v>162</v>
      </c>
      <c r="B167" s="3" t="s">
        <v>481</v>
      </c>
      <c r="C167" s="3" t="s">
        <v>482</v>
      </c>
      <c r="D167" s="3" t="n">
        <v>2023</v>
      </c>
      <c r="E167" s="3" t="s">
        <v>114</v>
      </c>
      <c r="F167" s="3" t="s">
        <v>478</v>
      </c>
      <c r="G167" s="3" t="s">
        <v>102</v>
      </c>
      <c r="H167" s="3" t="s">
        <v>145</v>
      </c>
      <c r="I167" s="3" t="str">
        <f aca="false">IF(H167="","",IFERROR(INDEX(Codes!$B$2:$B$30,MATCH(H167,Codes!$A$2:$A$30,0)),""))</f>
        <v>Exclude: no computational, learning, or efficiency claim (disease modeling, tools, engineering, theory)</v>
      </c>
      <c r="J167" s="3"/>
      <c r="K167" s="8"/>
      <c r="L167" s="9" t="str">
        <f aca="false">IF(K167="","",IF(K167=G167,"Y","N"))</f>
        <v/>
      </c>
    </row>
    <row r="168" customFormat="false" ht="23.85" hidden="false" customHeight="false" outlineLevel="0" collapsed="false">
      <c r="A168" s="3" t="n">
        <v>163</v>
      </c>
      <c r="B168" s="3" t="s">
        <v>483</v>
      </c>
      <c r="C168" s="3" t="s">
        <v>484</v>
      </c>
      <c r="D168" s="3"/>
      <c r="E168" s="3" t="s">
        <v>114</v>
      </c>
      <c r="F168" s="3" t="s">
        <v>478</v>
      </c>
      <c r="G168" s="3" t="s">
        <v>102</v>
      </c>
      <c r="H168" s="3" t="s">
        <v>145</v>
      </c>
      <c r="I168" s="3" t="str">
        <f aca="false">IF(H168="","",IFERROR(INDEX(Codes!$B$2:$B$30,MATCH(H168,Codes!$A$2:$A$30,0)),""))</f>
        <v>Exclude: no computational, learning, or efficiency claim (disease modeling, tools, engineering, theory)</v>
      </c>
      <c r="J168" s="3"/>
      <c r="K168" s="8"/>
      <c r="L168" s="9" t="str">
        <f aca="false">IF(K168="","",IF(K168=G168,"Y","N"))</f>
        <v/>
      </c>
    </row>
    <row r="169" customFormat="false" ht="23.85" hidden="false" customHeight="false" outlineLevel="0" collapsed="false">
      <c r="A169" s="3" t="n">
        <v>164</v>
      </c>
      <c r="B169" s="3" t="s">
        <v>485</v>
      </c>
      <c r="C169" s="3" t="s">
        <v>486</v>
      </c>
      <c r="D169" s="3" t="n">
        <v>2025</v>
      </c>
      <c r="E169" s="3" t="s">
        <v>114</v>
      </c>
      <c r="F169" s="3" t="s">
        <v>478</v>
      </c>
      <c r="G169" s="3" t="s">
        <v>102</v>
      </c>
      <c r="H169" s="3" t="s">
        <v>103</v>
      </c>
      <c r="I169" s="3" t="str">
        <f aca="false">IF(H169="","",IFERROR(INDEX(Codes!$B$2:$B$30,MATCH(H169,Codes!$A$2:$A$30,0)),""))</f>
        <v>Exclude: duplicate or earlier version of an included record (version of record kept)</v>
      </c>
      <c r="J169" s="3" t="s">
        <v>487</v>
      </c>
      <c r="K169" s="8"/>
      <c r="L169" s="9" t="str">
        <f aca="false">IF(K169="","",IF(K169=G169,"Y","N"))</f>
        <v/>
      </c>
    </row>
    <row r="170" customFormat="false" ht="23.85" hidden="false" customHeight="false" outlineLevel="0" collapsed="false">
      <c r="A170" s="3" t="n">
        <v>165</v>
      </c>
      <c r="B170" s="3" t="s">
        <v>488</v>
      </c>
      <c r="C170" s="3" t="s">
        <v>489</v>
      </c>
      <c r="D170" s="3"/>
      <c r="E170" s="3" t="s">
        <v>114</v>
      </c>
      <c r="F170" s="3" t="s">
        <v>478</v>
      </c>
      <c r="G170" s="3" t="s">
        <v>102</v>
      </c>
      <c r="H170" s="3" t="s">
        <v>145</v>
      </c>
      <c r="I170" s="3" t="str">
        <f aca="false">IF(H170="","",IFERROR(INDEX(Codes!$B$2:$B$30,MATCH(H170,Codes!$A$2:$A$30,0)),""))</f>
        <v>Exclude: no computational, learning, or efficiency claim (disease modeling, tools, engineering, theory)</v>
      </c>
      <c r="J170" s="3"/>
      <c r="K170" s="8"/>
      <c r="L170" s="9" t="str">
        <f aca="false">IF(K170="","",IF(K170=G170,"Y","N"))</f>
        <v/>
      </c>
    </row>
    <row r="171" customFormat="false" ht="23.85" hidden="false" customHeight="false" outlineLevel="0" collapsed="false">
      <c r="A171" s="3" t="n">
        <v>166</v>
      </c>
      <c r="B171" s="3" t="s">
        <v>490</v>
      </c>
      <c r="C171" s="3" t="s">
        <v>491</v>
      </c>
      <c r="D171" s="3" t="n">
        <v>2026</v>
      </c>
      <c r="E171" s="3" t="s">
        <v>114</v>
      </c>
      <c r="F171" s="3" t="s">
        <v>478</v>
      </c>
      <c r="G171" s="3" t="s">
        <v>102</v>
      </c>
      <c r="H171" s="3" t="s">
        <v>145</v>
      </c>
      <c r="I171" s="3" t="str">
        <f aca="false">IF(H171="","",IFERROR(INDEX(Codes!$B$2:$B$30,MATCH(H171,Codes!$A$2:$A$30,0)),""))</f>
        <v>Exclude: no computational, learning, or efficiency claim (disease modeling, tools, engineering, theory)</v>
      </c>
      <c r="J171" s="3"/>
      <c r="K171" s="8"/>
      <c r="L171" s="9" t="str">
        <f aca="false">IF(K171="","",IF(K171=G171,"Y","N"))</f>
        <v/>
      </c>
    </row>
    <row r="172" customFormat="false" ht="23.85" hidden="false" customHeight="false" outlineLevel="0" collapsed="false">
      <c r="A172" s="3" t="n">
        <v>167</v>
      </c>
      <c r="B172" s="3" t="s">
        <v>492</v>
      </c>
      <c r="C172" s="3" t="s">
        <v>493</v>
      </c>
      <c r="D172" s="3" t="n">
        <v>2025</v>
      </c>
      <c r="E172" s="3" t="s">
        <v>114</v>
      </c>
      <c r="F172" s="3" t="s">
        <v>478</v>
      </c>
      <c r="G172" s="3" t="s">
        <v>102</v>
      </c>
      <c r="H172" s="3" t="s">
        <v>145</v>
      </c>
      <c r="I172" s="3" t="str">
        <f aca="false">IF(H172="","",IFERROR(INDEX(Codes!$B$2:$B$30,MATCH(H172,Codes!$A$2:$A$30,0)),""))</f>
        <v>Exclude: no computational, learning, or efficiency claim (disease modeling, tools, engineering, theory)</v>
      </c>
      <c r="J172" s="3"/>
      <c r="K172" s="8"/>
      <c r="L172" s="9" t="str">
        <f aca="false">IF(K172="","",IF(K172=G172,"Y","N"))</f>
        <v/>
      </c>
    </row>
    <row r="173" customFormat="false" ht="23.85" hidden="false" customHeight="false" outlineLevel="0" collapsed="false">
      <c r="A173" s="3" t="n">
        <v>168</v>
      </c>
      <c r="B173" s="3" t="s">
        <v>494</v>
      </c>
      <c r="C173" s="3" t="s">
        <v>495</v>
      </c>
      <c r="D173" s="3" t="n">
        <v>2025</v>
      </c>
      <c r="E173" s="3" t="s">
        <v>114</v>
      </c>
      <c r="F173" s="3" t="s">
        <v>478</v>
      </c>
      <c r="G173" s="3" t="s">
        <v>102</v>
      </c>
      <c r="H173" s="3" t="s">
        <v>145</v>
      </c>
      <c r="I173" s="3" t="str">
        <f aca="false">IF(H173="","",IFERROR(INDEX(Codes!$B$2:$B$30,MATCH(H173,Codes!$A$2:$A$30,0)),""))</f>
        <v>Exclude: no computational, learning, or efficiency claim (disease modeling, tools, engineering, theory)</v>
      </c>
      <c r="J173" s="3"/>
      <c r="K173" s="8"/>
      <c r="L173" s="9" t="str">
        <f aca="false">IF(K173="","",IF(K173=G173,"Y","N"))</f>
        <v/>
      </c>
    </row>
    <row r="174" customFormat="false" ht="23.85" hidden="false" customHeight="false" outlineLevel="0" collapsed="false">
      <c r="A174" s="3" t="n">
        <v>169</v>
      </c>
      <c r="B174" s="3" t="s">
        <v>496</v>
      </c>
      <c r="C174" s="3" t="s">
        <v>497</v>
      </c>
      <c r="D174" s="3" t="n">
        <v>2024</v>
      </c>
      <c r="E174" s="3" t="s">
        <v>140</v>
      </c>
      <c r="F174" s="3" t="s">
        <v>498</v>
      </c>
      <c r="G174" s="3" t="s">
        <v>102</v>
      </c>
      <c r="H174" s="3" t="s">
        <v>141</v>
      </c>
      <c r="I174" s="3" t="str">
        <f aca="false">IF(H174="","",IFERROR(INDEX(Codes!$B$2:$B$30,MATCH(H174,Codes!$A$2:$A$30,0)),""))</f>
        <v>Exclude: AI, simulation, or hardware only; no living neural substrate</v>
      </c>
      <c r="J174" s="3" t="s">
        <v>499</v>
      </c>
      <c r="K174" s="8"/>
      <c r="L174" s="9" t="str">
        <f aca="false">IF(K174="","",IF(K174=G174,"Y","N"))</f>
        <v/>
      </c>
    </row>
    <row r="175" customFormat="false" ht="23.85" hidden="false" customHeight="false" outlineLevel="0" collapsed="false">
      <c r="A175" s="3" t="n">
        <v>170</v>
      </c>
      <c r="B175" s="3" t="s">
        <v>500</v>
      </c>
      <c r="C175" s="3" t="s">
        <v>501</v>
      </c>
      <c r="D175" s="3" t="n">
        <v>2024</v>
      </c>
      <c r="E175" s="3" t="s">
        <v>134</v>
      </c>
      <c r="F175" s="3" t="s">
        <v>502</v>
      </c>
      <c r="G175" s="3" t="s">
        <v>123</v>
      </c>
      <c r="H175" s="3" t="s">
        <v>503</v>
      </c>
      <c r="I175" s="3" t="str">
        <f aca="false">IF(H175="","",IFERROR(INDEX(Codes!$B$2:$B$30,MATCH(H175,Codes!$A$2:$A$30,0)),""))</f>
        <v>Context: critique or skeptical source (not scored; used for calibration and claim-propagation arguments)</v>
      </c>
      <c r="J175" s="3" t="s">
        <v>504</v>
      </c>
      <c r="K175" s="8"/>
      <c r="L175" s="9" t="str">
        <f aca="false">IF(K175="","",IF(K175=G175,"Y","N"))</f>
        <v/>
      </c>
    </row>
    <row r="176" customFormat="false" ht="15" hidden="false" customHeight="false" outlineLevel="0" collapsed="false">
      <c r="A176" s="3" t="n">
        <v>171</v>
      </c>
      <c r="B176" s="3" t="s">
        <v>505</v>
      </c>
      <c r="C176" s="3" t="s">
        <v>506</v>
      </c>
      <c r="D176" s="3" t="n">
        <v>2025</v>
      </c>
      <c r="E176" s="3" t="s">
        <v>88</v>
      </c>
      <c r="F176" s="3" t="s">
        <v>502</v>
      </c>
      <c r="G176" s="3" t="s">
        <v>72</v>
      </c>
      <c r="H176" s="3" t="s">
        <v>90</v>
      </c>
      <c r="I176" s="3" t="str">
        <f aca="false">IF(H176="","",IFERROR(INDEX(Codes!$B$2:$B$30,MATCH(H176,Codes!$A$2:$A$30,0)),""))</f>
        <v>Include: review or roadmap that makes explicit claims about such systems</v>
      </c>
      <c r="J176" s="3" t="s">
        <v>507</v>
      </c>
      <c r="K176" s="8"/>
      <c r="L176" s="9" t="str">
        <f aca="false">IF(K176="","",IF(K176=G176,"Y","N"))</f>
        <v/>
      </c>
    </row>
    <row r="177" customFormat="false" ht="23.85" hidden="false" customHeight="false" outlineLevel="0" collapsed="false">
      <c r="A177" s="3" t="n">
        <v>172</v>
      </c>
      <c r="B177" s="3" t="s">
        <v>508</v>
      </c>
      <c r="C177" s="3" t="s">
        <v>509</v>
      </c>
      <c r="D177" s="3" t="n">
        <v>2025</v>
      </c>
      <c r="E177" s="3" t="s">
        <v>88</v>
      </c>
      <c r="F177" s="3" t="s">
        <v>502</v>
      </c>
      <c r="G177" s="3" t="s">
        <v>102</v>
      </c>
      <c r="H177" s="3" t="s">
        <v>103</v>
      </c>
      <c r="I177" s="3" t="str">
        <f aca="false">IF(H177="","",IFERROR(INDEX(Codes!$B$2:$B$30,MATCH(H177,Codes!$A$2:$A$30,0)),""))</f>
        <v>Exclude: duplicate or earlier version of an included record (version of record kept)</v>
      </c>
      <c r="J177" s="3" t="s">
        <v>510</v>
      </c>
      <c r="K177" s="8"/>
      <c r="L177" s="9" t="str">
        <f aca="false">IF(K177="","",IF(K177=G177,"Y","N"))</f>
        <v/>
      </c>
    </row>
    <row r="178" customFormat="false" ht="23.85" hidden="false" customHeight="false" outlineLevel="0" collapsed="false">
      <c r="A178" s="3" t="n">
        <v>173</v>
      </c>
      <c r="B178" s="3" t="s">
        <v>511</v>
      </c>
      <c r="C178" s="3" t="s">
        <v>512</v>
      </c>
      <c r="D178" s="3" t="n">
        <v>2024</v>
      </c>
      <c r="E178" s="3" t="s">
        <v>88</v>
      </c>
      <c r="F178" s="3" t="s">
        <v>502</v>
      </c>
      <c r="G178" s="3" t="s">
        <v>102</v>
      </c>
      <c r="H178" s="3" t="s">
        <v>103</v>
      </c>
      <c r="I178" s="3" t="str">
        <f aca="false">IF(H178="","",IFERROR(INDEX(Codes!$B$2:$B$30,MATCH(H178,Codes!$A$2:$A$30,0)),""))</f>
        <v>Exclude: duplicate or earlier version of an included record (version of record kept)</v>
      </c>
      <c r="J178" s="3" t="s">
        <v>513</v>
      </c>
      <c r="K178" s="8"/>
      <c r="L178" s="9" t="str">
        <f aca="false">IF(K178="","",IF(K178=G178,"Y","N"))</f>
        <v/>
      </c>
    </row>
    <row r="179" customFormat="false" ht="23.85" hidden="false" customHeight="false" outlineLevel="0" collapsed="false">
      <c r="A179" s="3" t="n">
        <v>174</v>
      </c>
      <c r="B179" s="3" t="s">
        <v>514</v>
      </c>
      <c r="C179" s="3" t="s">
        <v>515</v>
      </c>
      <c r="D179" s="3" t="n">
        <v>2025</v>
      </c>
      <c r="E179" s="3" t="s">
        <v>88</v>
      </c>
      <c r="F179" s="3" t="s">
        <v>502</v>
      </c>
      <c r="G179" s="3" t="s">
        <v>109</v>
      </c>
      <c r="H179" s="3" t="s">
        <v>110</v>
      </c>
      <c r="I179" s="3" t="str">
        <f aca="false">IF(H179="","",IFERROR(INDEX(Codes!$B$2:$B$30,MATCH(H179,Codes!$A$2:$A$30,0)),""))</f>
        <v>Maybe: borderline, needs second screener or full-text check</v>
      </c>
      <c r="J179" s="3" t="s">
        <v>516</v>
      </c>
      <c r="K179" s="8"/>
      <c r="L179" s="9" t="str">
        <f aca="false">IF(K179="","",IF(K179=G179,"Y","N"))</f>
        <v/>
      </c>
    </row>
    <row r="180" customFormat="false" ht="23.85" hidden="false" customHeight="false" outlineLevel="0" collapsed="false">
      <c r="A180" s="3" t="n">
        <v>175</v>
      </c>
      <c r="B180" s="3" t="s">
        <v>517</v>
      </c>
      <c r="C180" s="3" t="s">
        <v>518</v>
      </c>
      <c r="D180" s="3" t="n">
        <v>2023</v>
      </c>
      <c r="E180" s="3" t="s">
        <v>121</v>
      </c>
      <c r="F180" s="3" t="s">
        <v>502</v>
      </c>
      <c r="G180" s="3" t="s">
        <v>102</v>
      </c>
      <c r="H180" s="3" t="s">
        <v>173</v>
      </c>
      <c r="I180" s="3" t="str">
        <f aca="false">IF(H180="","",IFERROR(INDEX(Codes!$B$2:$B$30,MATCH(H180,Codes!$A$2:$A$30,0)),""))</f>
        <v>Exclude: brain-organoid ethics not specific to computing / OI</v>
      </c>
      <c r="J180" s="3"/>
      <c r="K180" s="8"/>
      <c r="L180" s="9" t="str">
        <f aca="false">IF(K180="","",IF(K180=G180,"Y","N"))</f>
        <v/>
      </c>
    </row>
    <row r="181" customFormat="false" ht="23.85" hidden="false" customHeight="false" outlineLevel="0" collapsed="false">
      <c r="A181" s="3" t="n">
        <v>176</v>
      </c>
      <c r="B181" s="3" t="s">
        <v>519</v>
      </c>
      <c r="C181" s="3" t="s">
        <v>520</v>
      </c>
      <c r="D181" s="3" t="n">
        <v>2026</v>
      </c>
      <c r="E181" s="3" t="s">
        <v>88</v>
      </c>
      <c r="F181" s="3" t="s">
        <v>502</v>
      </c>
      <c r="G181" s="3" t="s">
        <v>72</v>
      </c>
      <c r="H181" s="3" t="s">
        <v>90</v>
      </c>
      <c r="I181" s="3" t="str">
        <f aca="false">IF(H181="","",IFERROR(INDEX(Codes!$B$2:$B$30,MATCH(H181,Codes!$A$2:$A$30,0)),""))</f>
        <v>Include: review or roadmap that makes explicit claims about such systems</v>
      </c>
      <c r="J181" s="3" t="s">
        <v>521</v>
      </c>
      <c r="K181" s="8"/>
      <c r="L181" s="9" t="str">
        <f aca="false">IF(K181="","",IF(K181=G181,"Y","N"))</f>
        <v/>
      </c>
    </row>
    <row r="182" customFormat="false" ht="23.85" hidden="false" customHeight="false" outlineLevel="0" collapsed="false">
      <c r="A182" s="3" t="n">
        <v>177</v>
      </c>
      <c r="B182" s="3" t="s">
        <v>522</v>
      </c>
      <c r="C182" s="3" t="s">
        <v>523</v>
      </c>
      <c r="D182" s="3" t="n">
        <v>2026</v>
      </c>
      <c r="E182" s="3" t="s">
        <v>121</v>
      </c>
      <c r="F182" s="3" t="s">
        <v>502</v>
      </c>
      <c r="G182" s="3" t="s">
        <v>123</v>
      </c>
      <c r="H182" s="3" t="s">
        <v>124</v>
      </c>
      <c r="I182" s="3" t="str">
        <f aca="false">IF(H182="","",IFERROR(INDEX(Codes!$B$2:$B$30,MATCH(H182,Codes!$A$2:$A$30,0)),""))</f>
        <v>Context: ethics or governance paper specific to organoid computing / OI (ethics arm, not scored on the main rubric)</v>
      </c>
      <c r="J182" s="3" t="s">
        <v>524</v>
      </c>
      <c r="K182" s="8"/>
      <c r="L182" s="9" t="str">
        <f aca="false">IF(K182="","",IF(K182=G182,"Y","N"))</f>
        <v/>
      </c>
    </row>
    <row r="183" customFormat="false" ht="23.85" hidden="false" customHeight="false" outlineLevel="0" collapsed="false">
      <c r="A183" s="3" t="n">
        <v>178</v>
      </c>
      <c r="B183" s="3" t="s">
        <v>525</v>
      </c>
      <c r="C183" s="3" t="s">
        <v>526</v>
      </c>
      <c r="D183" s="3" t="n">
        <v>2023</v>
      </c>
      <c r="E183" s="3" t="s">
        <v>88</v>
      </c>
      <c r="F183" s="3" t="s">
        <v>502</v>
      </c>
      <c r="G183" s="3" t="s">
        <v>72</v>
      </c>
      <c r="H183" s="3" t="s">
        <v>90</v>
      </c>
      <c r="I183" s="3" t="str">
        <f aca="false">IF(H183="","",IFERROR(INDEX(Codes!$B$2:$B$30,MATCH(H183,Codes!$A$2:$A$30,0)),""))</f>
        <v>Include: review or roadmap that makes explicit claims about such systems</v>
      </c>
      <c r="J183" s="3"/>
      <c r="K183" s="8"/>
      <c r="L183" s="9" t="str">
        <f aca="false">IF(K183="","",IF(K183=G183,"Y","N"))</f>
        <v/>
      </c>
    </row>
    <row r="184" customFormat="false" ht="23.85" hidden="false" customHeight="false" outlineLevel="0" collapsed="false">
      <c r="A184" s="3" t="n">
        <v>179</v>
      </c>
      <c r="B184" s="3" t="s">
        <v>527</v>
      </c>
      <c r="C184" s="3" t="s">
        <v>528</v>
      </c>
      <c r="D184" s="3" t="n">
        <v>2023</v>
      </c>
      <c r="E184" s="3" t="s">
        <v>134</v>
      </c>
      <c r="F184" s="3" t="s">
        <v>502</v>
      </c>
      <c r="G184" s="3" t="s">
        <v>123</v>
      </c>
      <c r="H184" s="3" t="s">
        <v>503</v>
      </c>
      <c r="I184" s="3" t="str">
        <f aca="false">IF(H184="","",IFERROR(INDEX(Codes!$B$2:$B$30,MATCH(H184,Codes!$A$2:$A$30,0)),""))</f>
        <v>Context: critique or skeptical source (not scored; used for calibration and claim-propagation arguments)</v>
      </c>
      <c r="J184" s="3" t="s">
        <v>529</v>
      </c>
      <c r="K184" s="8"/>
      <c r="L184" s="9" t="str">
        <f aca="false">IF(K184="","",IF(K184=G184,"Y","N"))</f>
        <v/>
      </c>
    </row>
    <row r="185" customFormat="false" ht="23.85" hidden="false" customHeight="false" outlineLevel="0" collapsed="false">
      <c r="A185" s="3" t="n">
        <v>180</v>
      </c>
      <c r="B185" s="3" t="s">
        <v>530</v>
      </c>
      <c r="C185" s="3" t="s">
        <v>531</v>
      </c>
      <c r="D185" s="3"/>
      <c r="E185" s="3" t="s">
        <v>532</v>
      </c>
      <c r="F185" s="3" t="s">
        <v>533</v>
      </c>
      <c r="G185" s="3" t="s">
        <v>72</v>
      </c>
      <c r="H185" s="3" t="s">
        <v>534</v>
      </c>
      <c r="I185" s="3" t="str">
        <f aca="false">IF(H185="","",IFERROR(INDEX(Codes!$B$2:$B$30,MATCH(H185,Codes!$A$2:$A$30,0)),""))</f>
        <v>Include: grey literature (company page or market report) making explicit claims</v>
      </c>
      <c r="J185" s="3" t="s">
        <v>535</v>
      </c>
      <c r="K185" s="8"/>
      <c r="L185" s="9" t="str">
        <f aca="false">IF(K185="","",IF(K185=G185,"Y","N"))</f>
        <v/>
      </c>
    </row>
    <row r="186" customFormat="false" ht="23.85" hidden="false" customHeight="false" outlineLevel="0" collapsed="false">
      <c r="A186" s="3" t="n">
        <v>181</v>
      </c>
      <c r="B186" s="3" t="s">
        <v>536</v>
      </c>
      <c r="C186" s="3" t="s">
        <v>537</v>
      </c>
      <c r="D186" s="3"/>
      <c r="E186" s="3" t="s">
        <v>532</v>
      </c>
      <c r="F186" s="3" t="s">
        <v>533</v>
      </c>
      <c r="G186" s="3" t="s">
        <v>72</v>
      </c>
      <c r="H186" s="3" t="s">
        <v>534</v>
      </c>
      <c r="I186" s="3" t="str">
        <f aca="false">IF(H186="","",IFERROR(INDEX(Codes!$B$2:$B$30,MATCH(H186,Codes!$A$2:$A$30,0)),""))</f>
        <v>Include: grey literature (company page or market report) making explicit claims</v>
      </c>
      <c r="J186" s="3" t="s">
        <v>538</v>
      </c>
      <c r="K186" s="8"/>
      <c r="L186" s="9" t="str">
        <f aca="false">IF(K186="","",IF(K186=G186,"Y","N"))</f>
        <v/>
      </c>
    </row>
    <row r="187" customFormat="false" ht="23.85" hidden="false" customHeight="false" outlineLevel="0" collapsed="false">
      <c r="A187" s="3" t="n">
        <v>182</v>
      </c>
      <c r="B187" s="3" t="s">
        <v>539</v>
      </c>
      <c r="C187" s="3" t="s">
        <v>540</v>
      </c>
      <c r="D187" s="3"/>
      <c r="E187" s="3" t="s">
        <v>532</v>
      </c>
      <c r="F187" s="3" t="s">
        <v>533</v>
      </c>
      <c r="G187" s="3" t="s">
        <v>102</v>
      </c>
      <c r="H187" s="3" t="s">
        <v>103</v>
      </c>
      <c r="I187" s="3" t="str">
        <f aca="false">IF(H187="","",IFERROR(INDEX(Codes!$B$2:$B$30,MATCH(H187,Codes!$A$2:$A$30,0)),""))</f>
        <v>Exclude: duplicate or earlier version of an included record (version of record kept)</v>
      </c>
      <c r="J187" s="3" t="s">
        <v>541</v>
      </c>
      <c r="K187" s="8"/>
      <c r="L187" s="9" t="str">
        <f aca="false">IF(K187="","",IF(K187=G187,"Y","N"))</f>
        <v/>
      </c>
    </row>
    <row r="188" customFormat="false" ht="23.85" hidden="false" customHeight="false" outlineLevel="0" collapsed="false">
      <c r="A188" s="3" t="n">
        <v>183</v>
      </c>
      <c r="B188" s="3" t="s">
        <v>542</v>
      </c>
      <c r="C188" s="3" t="s">
        <v>543</v>
      </c>
      <c r="D188" s="3"/>
      <c r="E188" s="3" t="s">
        <v>134</v>
      </c>
      <c r="F188" s="3" t="s">
        <v>533</v>
      </c>
      <c r="G188" s="3" t="s">
        <v>123</v>
      </c>
      <c r="H188" s="3" t="s">
        <v>136</v>
      </c>
      <c r="I188" s="3" t="str">
        <f aca="false">IF(H188="","",IFERROR(INDEX(Codes!$B$2:$B$30,MATCH(H188,Codes!$A$2:$A$30,0)),""))</f>
        <v>Context: commentary, editorial, or press coverage (not scored; used to trace how claims propagate)</v>
      </c>
      <c r="J188" s="3" t="s">
        <v>544</v>
      </c>
      <c r="K188" s="8"/>
      <c r="L188" s="9" t="str">
        <f aca="false">IF(K188="","",IF(K188=G188,"Y","N"))</f>
        <v/>
      </c>
    </row>
    <row r="189" customFormat="false" ht="23.85" hidden="false" customHeight="false" outlineLevel="0" collapsed="false">
      <c r="A189" s="3" t="n">
        <v>184</v>
      </c>
      <c r="B189" s="3" t="s">
        <v>545</v>
      </c>
      <c r="C189" s="3" t="s">
        <v>546</v>
      </c>
      <c r="D189" s="3"/>
      <c r="E189" s="3" t="s">
        <v>134</v>
      </c>
      <c r="F189" s="3" t="s">
        <v>533</v>
      </c>
      <c r="G189" s="3" t="s">
        <v>123</v>
      </c>
      <c r="H189" s="3" t="s">
        <v>136</v>
      </c>
      <c r="I189" s="3" t="str">
        <f aca="false">IF(H189="","",IFERROR(INDEX(Codes!$B$2:$B$30,MATCH(H189,Codes!$A$2:$A$30,0)),""))</f>
        <v>Context: commentary, editorial, or press coverage (not scored; used to trace how claims propagate)</v>
      </c>
      <c r="J189" s="3" t="s">
        <v>544</v>
      </c>
      <c r="K189" s="8"/>
      <c r="L189" s="9" t="str">
        <f aca="false">IF(K189="","",IF(K189=G189,"Y","N"))</f>
        <v/>
      </c>
    </row>
    <row r="190" customFormat="false" ht="23.85" hidden="false" customHeight="false" outlineLevel="0" collapsed="false">
      <c r="A190" s="3" t="n">
        <v>185</v>
      </c>
      <c r="B190" s="3" t="s">
        <v>547</v>
      </c>
      <c r="C190" s="3" t="s">
        <v>548</v>
      </c>
      <c r="D190" s="3"/>
      <c r="E190" s="3" t="s">
        <v>193</v>
      </c>
      <c r="F190" s="3" t="s">
        <v>533</v>
      </c>
      <c r="G190" s="3" t="s">
        <v>102</v>
      </c>
      <c r="H190" s="3" t="s">
        <v>549</v>
      </c>
      <c r="I190" s="3" t="str">
        <f aca="false">IF(H190="","",IFERROR(INDEX(Codes!$B$2:$B$30,MATCH(H190,Codes!$A$2:$A$30,0)),""))</f>
        <v>Exclude: opinion, news, social media, or tertiary source with no evidence base</v>
      </c>
      <c r="J190" s="3" t="s">
        <v>550</v>
      </c>
      <c r="K190" s="8"/>
      <c r="L190" s="9" t="str">
        <f aca="false">IF(K190="","",IF(K190=G190,"Y","N"))</f>
        <v/>
      </c>
    </row>
    <row r="191" customFormat="false" ht="46.25" hidden="false" customHeight="false" outlineLevel="0" collapsed="false">
      <c r="A191" s="3" t="n">
        <v>186</v>
      </c>
      <c r="B191" s="3" t="s">
        <v>551</v>
      </c>
      <c r="C191" s="3" t="s">
        <v>552</v>
      </c>
      <c r="D191" s="3"/>
      <c r="E191" s="3" t="s">
        <v>134</v>
      </c>
      <c r="F191" s="3" t="s">
        <v>533</v>
      </c>
      <c r="G191" s="3" t="s">
        <v>102</v>
      </c>
      <c r="H191" s="3" t="s">
        <v>549</v>
      </c>
      <c r="I191" s="3" t="str">
        <f aca="false">IF(H191="","",IFERROR(INDEX(Codes!$B$2:$B$30,MATCH(H191,Codes!$A$2:$A$30,0)),""))</f>
        <v>Exclude: opinion, news, social media, or tertiary source with no evidence base</v>
      </c>
      <c r="J191" s="3" t="s">
        <v>553</v>
      </c>
      <c r="K191" s="8"/>
      <c r="L191" s="9" t="str">
        <f aca="false">IF(K191="","",IF(K191=G191,"Y","N"))</f>
        <v/>
      </c>
    </row>
    <row r="192" customFormat="false" ht="23.85" hidden="false" customHeight="false" outlineLevel="0" collapsed="false">
      <c r="A192" s="3" t="n">
        <v>187</v>
      </c>
      <c r="B192" s="3" t="s">
        <v>554</v>
      </c>
      <c r="C192" s="3" t="s">
        <v>555</v>
      </c>
      <c r="D192" s="3"/>
      <c r="E192" s="3" t="s">
        <v>193</v>
      </c>
      <c r="F192" s="3" t="s">
        <v>533</v>
      </c>
      <c r="G192" s="3" t="s">
        <v>102</v>
      </c>
      <c r="H192" s="3" t="s">
        <v>549</v>
      </c>
      <c r="I192" s="3" t="str">
        <f aca="false">IF(H192="","",IFERROR(INDEX(Codes!$B$2:$B$30,MATCH(H192,Codes!$A$2:$A$30,0)),""))</f>
        <v>Exclude: opinion, news, social media, or tertiary source with no evidence base</v>
      </c>
      <c r="J192" s="3" t="s">
        <v>556</v>
      </c>
      <c r="K192" s="8"/>
      <c r="L192" s="9" t="str">
        <f aca="false">IF(K192="","",IF(K192=G192,"Y","N"))</f>
        <v/>
      </c>
    </row>
    <row r="193" customFormat="false" ht="35.05" hidden="false" customHeight="false" outlineLevel="0" collapsed="false">
      <c r="A193" s="3" t="n">
        <v>188</v>
      </c>
      <c r="B193" s="3" t="s">
        <v>557</v>
      </c>
      <c r="C193" s="3" t="s">
        <v>558</v>
      </c>
      <c r="D193" s="3"/>
      <c r="E193" s="3" t="s">
        <v>193</v>
      </c>
      <c r="F193" s="3" t="s">
        <v>533</v>
      </c>
      <c r="G193" s="3" t="s">
        <v>102</v>
      </c>
      <c r="H193" s="3" t="s">
        <v>549</v>
      </c>
      <c r="I193" s="3" t="str">
        <f aca="false">IF(H193="","",IFERROR(INDEX(Codes!$B$2:$B$30,MATCH(H193,Codes!$A$2:$A$30,0)),""))</f>
        <v>Exclude: opinion, news, social media, or tertiary source with no evidence base</v>
      </c>
      <c r="J193" s="3" t="s">
        <v>556</v>
      </c>
      <c r="K193" s="8"/>
      <c r="L193" s="9" t="str">
        <f aca="false">IF(K193="","",IF(K193=G193,"Y","N"))</f>
        <v/>
      </c>
    </row>
    <row r="194" customFormat="false" ht="35.05" hidden="false" customHeight="false" outlineLevel="0" collapsed="false">
      <c r="A194" s="3" t="n">
        <v>189</v>
      </c>
      <c r="B194" s="3" t="s">
        <v>559</v>
      </c>
      <c r="C194" s="3" t="s">
        <v>560</v>
      </c>
      <c r="D194" s="3"/>
      <c r="E194" s="3" t="s">
        <v>193</v>
      </c>
      <c r="F194" s="3" t="s">
        <v>533</v>
      </c>
      <c r="G194" s="3" t="s">
        <v>102</v>
      </c>
      <c r="H194" s="3" t="s">
        <v>549</v>
      </c>
      <c r="I194" s="3" t="str">
        <f aca="false">IF(H194="","",IFERROR(INDEX(Codes!$B$2:$B$30,MATCH(H194,Codes!$A$2:$A$30,0)),""))</f>
        <v>Exclude: opinion, news, social media, or tertiary source with no evidence base</v>
      </c>
      <c r="J194" s="3" t="s">
        <v>556</v>
      </c>
      <c r="K194" s="8"/>
      <c r="L194" s="9" t="str">
        <f aca="false">IF(K194="","",IF(K194=G194,"Y","N"))</f>
        <v/>
      </c>
    </row>
    <row r="195" customFormat="false" ht="23.85" hidden="false" customHeight="false" outlineLevel="0" collapsed="false">
      <c r="A195" s="3" t="n">
        <v>190</v>
      </c>
      <c r="B195" s="3" t="s">
        <v>561</v>
      </c>
      <c r="C195" s="3" t="s">
        <v>562</v>
      </c>
      <c r="D195" s="3"/>
      <c r="E195" s="3" t="s">
        <v>532</v>
      </c>
      <c r="F195" s="3" t="s">
        <v>563</v>
      </c>
      <c r="G195" s="3" t="s">
        <v>72</v>
      </c>
      <c r="H195" s="3" t="s">
        <v>534</v>
      </c>
      <c r="I195" s="3" t="str">
        <f aca="false">IF(H195="","",IFERROR(INDEX(Codes!$B$2:$B$30,MATCH(H195,Codes!$A$2:$A$30,0)),""))</f>
        <v>Include: grey literature (company page or market report) making explicit claims</v>
      </c>
      <c r="J195" s="3" t="s">
        <v>564</v>
      </c>
      <c r="K195" s="8"/>
      <c r="L195" s="9" t="str">
        <f aca="false">IF(K195="","",IF(K195=G195,"Y","N"))</f>
        <v/>
      </c>
    </row>
    <row r="196" customFormat="false" ht="15" hidden="false" customHeight="false" outlineLevel="0" collapsed="false">
      <c r="I196" s="3" t="str">
        <f aca="false">IF(H196="","",IFERROR(INDEX(Codes!$B$2:$B$30,MATCH(H196,Codes!$A$2:$A$30,0)),""))</f>
        <v/>
      </c>
      <c r="K196" s="8"/>
      <c r="L196" s="9" t="str">
        <f aca="false">IF(K196="","",IF(K196=G196,"Y","N"))</f>
        <v/>
      </c>
    </row>
    <row r="197" customFormat="false" ht="15" hidden="false" customHeight="false" outlineLevel="0" collapsed="false">
      <c r="I197" s="3" t="str">
        <f aca="false">IF(H197="","",IFERROR(INDEX(Codes!$B$2:$B$30,MATCH(H197,Codes!$A$2:$A$30,0)),""))</f>
        <v/>
      </c>
      <c r="K197" s="8"/>
      <c r="L197" s="9" t="str">
        <f aca="false">IF(K197="","",IF(K197=G197,"Y","N"))</f>
        <v/>
      </c>
    </row>
    <row r="198" customFormat="false" ht="15" hidden="false" customHeight="false" outlineLevel="0" collapsed="false">
      <c r="I198" s="3" t="str">
        <f aca="false">IF(H198="","",IFERROR(INDEX(Codes!$B$2:$B$30,MATCH(H198,Codes!$A$2:$A$30,0)),""))</f>
        <v/>
      </c>
      <c r="K198" s="8"/>
      <c r="L198" s="9" t="str">
        <f aca="false">IF(K198="","",IF(K198=G198,"Y","N"))</f>
        <v/>
      </c>
    </row>
    <row r="199" customFormat="false" ht="15" hidden="false" customHeight="false" outlineLevel="0" collapsed="false">
      <c r="I199" s="3" t="str">
        <f aca="false">IF(H199="","",IFERROR(INDEX(Codes!$B$2:$B$30,MATCH(H199,Codes!$A$2:$A$30,0)),""))</f>
        <v/>
      </c>
      <c r="K199" s="8"/>
      <c r="L199" s="9" t="str">
        <f aca="false">IF(K199="","",IF(K199=G199,"Y","N"))</f>
        <v/>
      </c>
    </row>
    <row r="200" customFormat="false" ht="15" hidden="false" customHeight="false" outlineLevel="0" collapsed="false">
      <c r="I200" s="3" t="str">
        <f aca="false">IF(H200="","",IFERROR(INDEX(Codes!$B$2:$B$30,MATCH(H200,Codes!$A$2:$A$30,0)),""))</f>
        <v/>
      </c>
      <c r="K200" s="8"/>
      <c r="L200" s="9" t="str">
        <f aca="false">IF(K200="","",IF(K200=G200,"Y","N"))</f>
        <v/>
      </c>
    </row>
    <row r="201" customFormat="false" ht="15" hidden="false" customHeight="false" outlineLevel="0" collapsed="false">
      <c r="I201" s="3" t="str">
        <f aca="false">IF(H201="","",IFERROR(INDEX(Codes!$B$2:$B$30,MATCH(H201,Codes!$A$2:$A$30,0)),""))</f>
        <v/>
      </c>
      <c r="K201" s="8"/>
      <c r="L201" s="9" t="str">
        <f aca="false">IF(K201="","",IF(K201=G201,"Y","N"))</f>
        <v/>
      </c>
    </row>
    <row r="202" customFormat="false" ht="15" hidden="false" customHeight="false" outlineLevel="0" collapsed="false">
      <c r="I202" s="3" t="str">
        <f aca="false">IF(H202="","",IFERROR(INDEX(Codes!$B$2:$B$30,MATCH(H202,Codes!$A$2:$A$30,0)),""))</f>
        <v/>
      </c>
      <c r="K202" s="8"/>
      <c r="L202" s="9" t="str">
        <f aca="false">IF(K202="","",IF(K202=G202,"Y","N"))</f>
        <v/>
      </c>
    </row>
    <row r="203" customFormat="false" ht="15" hidden="false" customHeight="false" outlineLevel="0" collapsed="false">
      <c r="I203" s="3" t="str">
        <f aca="false">IF(H203="","",IFERROR(INDEX(Codes!$B$2:$B$30,MATCH(H203,Codes!$A$2:$A$30,0)),""))</f>
        <v/>
      </c>
      <c r="K203" s="8"/>
      <c r="L203" s="9" t="str">
        <f aca="false">IF(K203="","",IF(K203=G203,"Y","N"))</f>
        <v/>
      </c>
    </row>
    <row r="204" customFormat="false" ht="15" hidden="false" customHeight="false" outlineLevel="0" collapsed="false">
      <c r="I204" s="3" t="str">
        <f aca="false">IF(H204="","",IFERROR(INDEX(Codes!$B$2:$B$30,MATCH(H204,Codes!$A$2:$A$30,0)),""))</f>
        <v/>
      </c>
      <c r="K204" s="8"/>
      <c r="L204" s="9" t="str">
        <f aca="false">IF(K204="","",IF(K204=G204,"Y","N"))</f>
        <v/>
      </c>
    </row>
    <row r="205" customFormat="false" ht="15" hidden="false" customHeight="false" outlineLevel="0" collapsed="false">
      <c r="I205" s="3" t="str">
        <f aca="false">IF(H205="","",IFERROR(INDEX(Codes!$B$2:$B$30,MATCH(H205,Codes!$A$2:$A$30,0)),""))</f>
        <v/>
      </c>
      <c r="K205" s="8"/>
      <c r="L205" s="9" t="str">
        <f aca="false">IF(K205="","",IF(K205=G205,"Y","N"))</f>
        <v/>
      </c>
    </row>
    <row r="206" customFormat="false" ht="15" hidden="false" customHeight="false" outlineLevel="0" collapsed="false">
      <c r="I206" s="3" t="str">
        <f aca="false">IF(H206="","",IFERROR(INDEX(Codes!$B$2:$B$30,MATCH(H206,Codes!$A$2:$A$30,0)),""))</f>
        <v/>
      </c>
      <c r="K206" s="8"/>
      <c r="L206" s="9" t="str">
        <f aca="false">IF(K206="","",IF(K206=G206,"Y","N"))</f>
        <v/>
      </c>
    </row>
    <row r="207" customFormat="false" ht="15" hidden="false" customHeight="false" outlineLevel="0" collapsed="false">
      <c r="I207" s="3" t="str">
        <f aca="false">IF(H207="","",IFERROR(INDEX(Codes!$B$2:$B$30,MATCH(H207,Codes!$A$2:$A$30,0)),""))</f>
        <v/>
      </c>
      <c r="K207" s="8"/>
      <c r="L207" s="9" t="str">
        <f aca="false">IF(K207="","",IF(K207=G207,"Y","N"))</f>
        <v/>
      </c>
    </row>
    <row r="208" customFormat="false" ht="15" hidden="false" customHeight="false" outlineLevel="0" collapsed="false">
      <c r="I208" s="3" t="str">
        <f aca="false">IF(H208="","",IFERROR(INDEX(Codes!$B$2:$B$30,MATCH(H208,Codes!$A$2:$A$30,0)),""))</f>
        <v/>
      </c>
      <c r="K208" s="8"/>
      <c r="L208" s="9" t="str">
        <f aca="false">IF(K208="","",IF(K208=G208,"Y","N"))</f>
        <v/>
      </c>
    </row>
    <row r="209" customFormat="false" ht="15" hidden="false" customHeight="false" outlineLevel="0" collapsed="false">
      <c r="I209" s="3" t="str">
        <f aca="false">IF(H209="","",IFERROR(INDEX(Codes!$B$2:$B$30,MATCH(H209,Codes!$A$2:$A$30,0)),""))</f>
        <v/>
      </c>
      <c r="K209" s="8"/>
      <c r="L209" s="9" t="str">
        <f aca="false">IF(K209="","",IF(K209=G209,"Y","N"))</f>
        <v/>
      </c>
    </row>
    <row r="210" customFormat="false" ht="15" hidden="false" customHeight="false" outlineLevel="0" collapsed="false">
      <c r="I210" s="3" t="str">
        <f aca="false">IF(H210="","",IFERROR(INDEX(Codes!$B$2:$B$30,MATCH(H210,Codes!$A$2:$A$30,0)),""))</f>
        <v/>
      </c>
      <c r="K210" s="8"/>
      <c r="L210" s="9" t="str">
        <f aca="false">IF(K210="","",IF(K210=G210,"Y","N"))</f>
        <v/>
      </c>
    </row>
    <row r="211" customFormat="false" ht="15" hidden="false" customHeight="false" outlineLevel="0" collapsed="false">
      <c r="I211" s="3" t="str">
        <f aca="false">IF(H211="","",IFERROR(INDEX(Codes!$B$2:$B$30,MATCH(H211,Codes!$A$2:$A$30,0)),""))</f>
        <v/>
      </c>
      <c r="K211" s="8"/>
      <c r="L211" s="9" t="str">
        <f aca="false">IF(K211="","",IF(K211=G211,"Y","N"))</f>
        <v/>
      </c>
    </row>
    <row r="212" customFormat="false" ht="15" hidden="false" customHeight="false" outlineLevel="0" collapsed="false">
      <c r="I212" s="3" t="str">
        <f aca="false">IF(H212="","",IFERROR(INDEX(Codes!$B$2:$B$30,MATCH(H212,Codes!$A$2:$A$30,0)),""))</f>
        <v/>
      </c>
      <c r="K212" s="8"/>
      <c r="L212" s="9" t="str">
        <f aca="false">IF(K212="","",IF(K212=G212,"Y","N"))</f>
        <v/>
      </c>
    </row>
    <row r="213" customFormat="false" ht="15" hidden="false" customHeight="false" outlineLevel="0" collapsed="false">
      <c r="I213" s="3" t="str">
        <f aca="false">IF(H213="","",IFERROR(INDEX(Codes!$B$2:$B$30,MATCH(H213,Codes!$A$2:$A$30,0)),""))</f>
        <v/>
      </c>
      <c r="K213" s="8"/>
      <c r="L213" s="9" t="str">
        <f aca="false">IF(K213="","",IF(K213=G213,"Y","N"))</f>
        <v/>
      </c>
    </row>
    <row r="214" customFormat="false" ht="15" hidden="false" customHeight="false" outlineLevel="0" collapsed="false">
      <c r="I214" s="3" t="str">
        <f aca="false">IF(H214="","",IFERROR(INDEX(Codes!$B$2:$B$30,MATCH(H214,Codes!$A$2:$A$30,0)),""))</f>
        <v/>
      </c>
      <c r="K214" s="8"/>
      <c r="L214" s="9" t="str">
        <f aca="false">IF(K214="","",IF(K214=G214,"Y","N"))</f>
        <v/>
      </c>
    </row>
    <row r="215" customFormat="false" ht="15" hidden="false" customHeight="false" outlineLevel="0" collapsed="false">
      <c r="I215" s="3" t="str">
        <f aca="false">IF(H215="","",IFERROR(INDEX(Codes!$B$2:$B$30,MATCH(H215,Codes!$A$2:$A$30,0)),""))</f>
        <v/>
      </c>
      <c r="K215" s="8"/>
      <c r="L215" s="9" t="str">
        <f aca="false">IF(K215="","",IF(K215=G215,"Y","N"))</f>
        <v/>
      </c>
    </row>
    <row r="216" customFormat="false" ht="15" hidden="false" customHeight="false" outlineLevel="0" collapsed="false">
      <c r="I216" s="3" t="str">
        <f aca="false">IF(H216="","",IFERROR(INDEX(Codes!$B$2:$B$30,MATCH(H216,Codes!$A$2:$A$30,0)),""))</f>
        <v/>
      </c>
      <c r="K216" s="8"/>
      <c r="L216" s="9" t="str">
        <f aca="false">IF(K216="","",IF(K216=G216,"Y","N"))</f>
        <v/>
      </c>
    </row>
    <row r="217" customFormat="false" ht="15" hidden="false" customHeight="false" outlineLevel="0" collapsed="false">
      <c r="I217" s="3" t="str">
        <f aca="false">IF(H217="","",IFERROR(INDEX(Codes!$B$2:$B$30,MATCH(H217,Codes!$A$2:$A$30,0)),""))</f>
        <v/>
      </c>
      <c r="K217" s="8"/>
      <c r="L217" s="9" t="str">
        <f aca="false">IF(K217="","",IF(K217=G217,"Y","N"))</f>
        <v/>
      </c>
    </row>
    <row r="218" customFormat="false" ht="15" hidden="false" customHeight="false" outlineLevel="0" collapsed="false">
      <c r="I218" s="3" t="str">
        <f aca="false">IF(H218="","",IFERROR(INDEX(Codes!$B$2:$B$30,MATCH(H218,Codes!$A$2:$A$30,0)),""))</f>
        <v/>
      </c>
      <c r="K218" s="8"/>
      <c r="L218" s="9" t="str">
        <f aca="false">IF(K218="","",IF(K218=G218,"Y","N"))</f>
        <v/>
      </c>
    </row>
    <row r="219" customFormat="false" ht="15" hidden="false" customHeight="false" outlineLevel="0" collapsed="false">
      <c r="I219" s="3" t="str">
        <f aca="false">IF(H219="","",IFERROR(INDEX(Codes!$B$2:$B$30,MATCH(H219,Codes!$A$2:$A$30,0)),""))</f>
        <v/>
      </c>
      <c r="K219" s="8"/>
      <c r="L219" s="9" t="str">
        <f aca="false">IF(K219="","",IF(K219=G219,"Y","N"))</f>
        <v/>
      </c>
    </row>
    <row r="220" customFormat="false" ht="15" hidden="false" customHeight="false" outlineLevel="0" collapsed="false">
      <c r="I220" s="3" t="str">
        <f aca="false">IF(H220="","",IFERROR(INDEX(Codes!$B$2:$B$30,MATCH(H220,Codes!$A$2:$A$30,0)),""))</f>
        <v/>
      </c>
      <c r="K220" s="8"/>
      <c r="L220" s="9" t="str">
        <f aca="false">IF(K220="","",IF(K220=G220,"Y","N"))</f>
        <v/>
      </c>
    </row>
    <row r="221" customFormat="false" ht="15" hidden="false" customHeight="false" outlineLevel="0" collapsed="false">
      <c r="I221" s="3" t="str">
        <f aca="false">IF(H221="","",IFERROR(INDEX(Codes!$B$2:$B$30,MATCH(H221,Codes!$A$2:$A$30,0)),""))</f>
        <v/>
      </c>
      <c r="K221" s="8"/>
      <c r="L221" s="9" t="str">
        <f aca="false">IF(K221="","",IF(K221=G221,"Y","N"))</f>
        <v/>
      </c>
    </row>
    <row r="222" customFormat="false" ht="15" hidden="false" customHeight="false" outlineLevel="0" collapsed="false">
      <c r="I222" s="3" t="str">
        <f aca="false">IF(H222="","",IFERROR(INDEX(Codes!$B$2:$B$30,MATCH(H222,Codes!$A$2:$A$30,0)),""))</f>
        <v/>
      </c>
      <c r="K222" s="8"/>
      <c r="L222" s="9" t="str">
        <f aca="false">IF(K222="","",IF(K222=G222,"Y","N"))</f>
        <v/>
      </c>
    </row>
    <row r="223" customFormat="false" ht="15" hidden="false" customHeight="false" outlineLevel="0" collapsed="false">
      <c r="I223" s="3" t="str">
        <f aca="false">IF(H223="","",IFERROR(INDEX(Codes!$B$2:$B$30,MATCH(H223,Codes!$A$2:$A$30,0)),""))</f>
        <v/>
      </c>
      <c r="K223" s="8"/>
      <c r="L223" s="9" t="str">
        <f aca="false">IF(K223="","",IF(K223=G223,"Y","N"))</f>
        <v/>
      </c>
    </row>
    <row r="224" customFormat="false" ht="15" hidden="false" customHeight="false" outlineLevel="0" collapsed="false">
      <c r="I224" s="3" t="str">
        <f aca="false">IF(H224="","",IFERROR(INDEX(Codes!$B$2:$B$30,MATCH(H224,Codes!$A$2:$A$30,0)),""))</f>
        <v/>
      </c>
      <c r="K224" s="8"/>
      <c r="L224" s="9" t="str">
        <f aca="false">IF(K224="","",IF(K224=G224,"Y","N"))</f>
        <v/>
      </c>
    </row>
    <row r="225" customFormat="false" ht="15" hidden="false" customHeight="false" outlineLevel="0" collapsed="false">
      <c r="I225" s="3" t="str">
        <f aca="false">IF(H225="","",IFERROR(INDEX(Codes!$B$2:$B$30,MATCH(H225,Codes!$A$2:$A$30,0)),""))</f>
        <v/>
      </c>
      <c r="K225" s="8"/>
      <c r="L225" s="9" t="str">
        <f aca="false">IF(K225="","",IF(K225=G225,"Y","N"))</f>
        <v/>
      </c>
    </row>
    <row r="226" customFormat="false" ht="15" hidden="false" customHeight="false" outlineLevel="0" collapsed="false">
      <c r="I226" s="3" t="str">
        <f aca="false">IF(H226="","",IFERROR(INDEX(Codes!$B$2:$B$30,MATCH(H226,Codes!$A$2:$A$30,0)),""))</f>
        <v/>
      </c>
      <c r="K226" s="8"/>
      <c r="L226" s="9" t="str">
        <f aca="false">IF(K226="","",IF(K226=G226,"Y","N"))</f>
        <v/>
      </c>
    </row>
    <row r="227" customFormat="false" ht="15" hidden="false" customHeight="false" outlineLevel="0" collapsed="false">
      <c r="I227" s="3" t="str">
        <f aca="false">IF(H227="","",IFERROR(INDEX(Codes!$B$2:$B$30,MATCH(H227,Codes!$A$2:$A$30,0)),""))</f>
        <v/>
      </c>
      <c r="K227" s="8"/>
      <c r="L227" s="9" t="str">
        <f aca="false">IF(K227="","",IF(K227=G227,"Y","N"))</f>
        <v/>
      </c>
    </row>
    <row r="228" customFormat="false" ht="15" hidden="false" customHeight="false" outlineLevel="0" collapsed="false">
      <c r="I228" s="3" t="str">
        <f aca="false">IF(H228="","",IFERROR(INDEX(Codes!$B$2:$B$30,MATCH(H228,Codes!$A$2:$A$30,0)),""))</f>
        <v/>
      </c>
      <c r="K228" s="8"/>
      <c r="L228" s="9" t="str">
        <f aca="false">IF(K228="","",IF(K228=G228,"Y","N"))</f>
        <v/>
      </c>
    </row>
    <row r="229" customFormat="false" ht="15" hidden="false" customHeight="false" outlineLevel="0" collapsed="false">
      <c r="I229" s="3" t="str">
        <f aca="false">IF(H229="","",IFERROR(INDEX(Codes!$B$2:$B$30,MATCH(H229,Codes!$A$2:$A$30,0)),""))</f>
        <v/>
      </c>
      <c r="K229" s="8"/>
      <c r="L229" s="9" t="str">
        <f aca="false">IF(K229="","",IF(K229=G229,"Y","N"))</f>
        <v/>
      </c>
    </row>
    <row r="230" customFormat="false" ht="15" hidden="false" customHeight="false" outlineLevel="0" collapsed="false">
      <c r="I230" s="3" t="str">
        <f aca="false">IF(H230="","",IFERROR(INDEX(Codes!$B$2:$B$30,MATCH(H230,Codes!$A$2:$A$30,0)),""))</f>
        <v/>
      </c>
      <c r="K230" s="8"/>
      <c r="L230" s="9" t="str">
        <f aca="false">IF(K230="","",IF(K230=G230,"Y","N"))</f>
        <v/>
      </c>
    </row>
    <row r="231" customFormat="false" ht="15" hidden="false" customHeight="false" outlineLevel="0" collapsed="false">
      <c r="I231" s="3" t="str">
        <f aca="false">IF(H231="","",IFERROR(INDEX(Codes!$B$2:$B$30,MATCH(H231,Codes!$A$2:$A$30,0)),""))</f>
        <v/>
      </c>
      <c r="K231" s="8"/>
      <c r="L231" s="9" t="str">
        <f aca="false">IF(K231="","",IF(K231=G231,"Y","N"))</f>
        <v/>
      </c>
    </row>
    <row r="232" customFormat="false" ht="15" hidden="false" customHeight="false" outlineLevel="0" collapsed="false">
      <c r="I232" s="3" t="str">
        <f aca="false">IF(H232="","",IFERROR(INDEX(Codes!$B$2:$B$30,MATCH(H232,Codes!$A$2:$A$30,0)),""))</f>
        <v/>
      </c>
      <c r="K232" s="8"/>
      <c r="L232" s="9" t="str">
        <f aca="false">IF(K232="","",IF(K232=G232,"Y","N"))</f>
        <v/>
      </c>
    </row>
    <row r="233" customFormat="false" ht="15" hidden="false" customHeight="false" outlineLevel="0" collapsed="false">
      <c r="I233" s="3" t="str">
        <f aca="false">IF(H233="","",IFERROR(INDEX(Codes!$B$2:$B$30,MATCH(H233,Codes!$A$2:$A$30,0)),""))</f>
        <v/>
      </c>
      <c r="K233" s="8"/>
      <c r="L233" s="9" t="str">
        <f aca="false">IF(K233="","",IF(K233=G233,"Y","N"))</f>
        <v/>
      </c>
    </row>
    <row r="234" customFormat="false" ht="15" hidden="false" customHeight="false" outlineLevel="0" collapsed="false">
      <c r="I234" s="3" t="str">
        <f aca="false">IF(H234="","",IFERROR(INDEX(Codes!$B$2:$B$30,MATCH(H234,Codes!$A$2:$A$30,0)),""))</f>
        <v/>
      </c>
      <c r="K234" s="8"/>
      <c r="L234" s="9" t="str">
        <f aca="false">IF(K234="","",IF(K234=G234,"Y","N"))</f>
        <v/>
      </c>
    </row>
    <row r="235" customFormat="false" ht="15" hidden="false" customHeight="false" outlineLevel="0" collapsed="false">
      <c r="I235" s="3" t="str">
        <f aca="false">IF(H235="","",IFERROR(INDEX(Codes!$B$2:$B$30,MATCH(H235,Codes!$A$2:$A$30,0)),""))</f>
        <v/>
      </c>
      <c r="K235" s="8"/>
      <c r="L235" s="9" t="str">
        <f aca="false">IF(K235="","",IF(K235=G235,"Y","N"))</f>
        <v/>
      </c>
    </row>
    <row r="236" customFormat="false" ht="15" hidden="false" customHeight="false" outlineLevel="0" collapsed="false">
      <c r="I236" s="3" t="str">
        <f aca="false">IF(H236="","",IFERROR(INDEX(Codes!$B$2:$B$30,MATCH(H236,Codes!$A$2:$A$30,0)),""))</f>
        <v/>
      </c>
      <c r="K236" s="8"/>
      <c r="L236" s="9" t="str">
        <f aca="false">IF(K236="","",IF(K236=G236,"Y","N"))</f>
        <v/>
      </c>
    </row>
    <row r="237" customFormat="false" ht="15" hidden="false" customHeight="false" outlineLevel="0" collapsed="false">
      <c r="I237" s="3" t="str">
        <f aca="false">IF(H237="","",IFERROR(INDEX(Codes!$B$2:$B$30,MATCH(H237,Codes!$A$2:$A$30,0)),""))</f>
        <v/>
      </c>
      <c r="K237" s="8"/>
      <c r="L237" s="9" t="str">
        <f aca="false">IF(K237="","",IF(K237=G237,"Y","N"))</f>
        <v/>
      </c>
    </row>
    <row r="238" customFormat="false" ht="15" hidden="false" customHeight="false" outlineLevel="0" collapsed="false">
      <c r="I238" s="3" t="str">
        <f aca="false">IF(H238="","",IFERROR(INDEX(Codes!$B$2:$B$30,MATCH(H238,Codes!$A$2:$A$30,0)),""))</f>
        <v/>
      </c>
      <c r="K238" s="8"/>
      <c r="L238" s="9" t="str">
        <f aca="false">IF(K238="","",IF(K238=G238,"Y","N"))</f>
        <v/>
      </c>
    </row>
    <row r="239" customFormat="false" ht="15" hidden="false" customHeight="false" outlineLevel="0" collapsed="false">
      <c r="I239" s="3" t="str">
        <f aca="false">IF(H239="","",IFERROR(INDEX(Codes!$B$2:$B$30,MATCH(H239,Codes!$A$2:$A$30,0)),""))</f>
        <v/>
      </c>
      <c r="K239" s="8"/>
      <c r="L239" s="9" t="str">
        <f aca="false">IF(K239="","",IF(K239=G239,"Y","N"))</f>
        <v/>
      </c>
    </row>
    <row r="240" customFormat="false" ht="15" hidden="false" customHeight="false" outlineLevel="0" collapsed="false">
      <c r="I240" s="3" t="str">
        <f aca="false">IF(H240="","",IFERROR(INDEX(Codes!$B$2:$B$30,MATCH(H240,Codes!$A$2:$A$30,0)),""))</f>
        <v/>
      </c>
      <c r="K240" s="8"/>
      <c r="L240" s="9" t="str">
        <f aca="false">IF(K240="","",IF(K240=G240,"Y","N"))</f>
        <v/>
      </c>
    </row>
    <row r="241" customFormat="false" ht="15" hidden="false" customHeight="false" outlineLevel="0" collapsed="false">
      <c r="I241" s="3" t="str">
        <f aca="false">IF(H241="","",IFERROR(INDEX(Codes!$B$2:$B$30,MATCH(H241,Codes!$A$2:$A$30,0)),""))</f>
        <v/>
      </c>
      <c r="K241" s="8"/>
      <c r="L241" s="9" t="str">
        <f aca="false">IF(K241="","",IF(K241=G241,"Y","N"))</f>
        <v/>
      </c>
    </row>
    <row r="242" customFormat="false" ht="15" hidden="false" customHeight="false" outlineLevel="0" collapsed="false">
      <c r="I242" s="3" t="str">
        <f aca="false">IF(H242="","",IFERROR(INDEX(Codes!$B$2:$B$30,MATCH(H242,Codes!$A$2:$A$30,0)),""))</f>
        <v/>
      </c>
      <c r="K242" s="8"/>
      <c r="L242" s="9" t="str">
        <f aca="false">IF(K242="","",IF(K242=G242,"Y","N"))</f>
        <v/>
      </c>
    </row>
    <row r="243" customFormat="false" ht="15" hidden="false" customHeight="false" outlineLevel="0" collapsed="false">
      <c r="I243" s="3" t="str">
        <f aca="false">IF(H243="","",IFERROR(INDEX(Codes!$B$2:$B$30,MATCH(H243,Codes!$A$2:$A$30,0)),""))</f>
        <v/>
      </c>
      <c r="K243" s="8"/>
      <c r="L243" s="9" t="str">
        <f aca="false">IF(K243="","",IF(K243=G243,"Y","N"))</f>
        <v/>
      </c>
    </row>
    <row r="244" customFormat="false" ht="15" hidden="false" customHeight="false" outlineLevel="0" collapsed="false">
      <c r="I244" s="3" t="str">
        <f aca="false">IF(H244="","",IFERROR(INDEX(Codes!$B$2:$B$30,MATCH(H244,Codes!$A$2:$A$30,0)),""))</f>
        <v/>
      </c>
      <c r="K244" s="8"/>
      <c r="L244" s="9" t="str">
        <f aca="false">IF(K244="","",IF(K244=G244,"Y","N"))</f>
        <v/>
      </c>
    </row>
    <row r="245" customFormat="false" ht="15" hidden="false" customHeight="false" outlineLevel="0" collapsed="false">
      <c r="I245" s="3" t="str">
        <f aca="false">IF(H245="","",IFERROR(INDEX(Codes!$B$2:$B$30,MATCH(H245,Codes!$A$2:$A$30,0)),""))</f>
        <v/>
      </c>
      <c r="K245" s="8"/>
      <c r="L245" s="9" t="str">
        <f aca="false">IF(K245="","",IF(K245=G245,"Y","N"))</f>
        <v/>
      </c>
    </row>
    <row r="246" customFormat="false" ht="15" hidden="false" customHeight="false" outlineLevel="0" collapsed="false">
      <c r="I246" s="3" t="str">
        <f aca="false">IF(H246="","",IFERROR(INDEX(Codes!$B$2:$B$30,MATCH(H246,Codes!$A$2:$A$30,0)),""))</f>
        <v/>
      </c>
      <c r="K246" s="8"/>
      <c r="L246" s="9" t="str">
        <f aca="false">IF(K246="","",IF(K246=G246,"Y","N"))</f>
        <v/>
      </c>
    </row>
    <row r="247" customFormat="false" ht="15" hidden="false" customHeight="false" outlineLevel="0" collapsed="false">
      <c r="I247" s="3" t="str">
        <f aca="false">IF(H247="","",IFERROR(INDEX(Codes!$B$2:$B$30,MATCH(H247,Codes!$A$2:$A$30,0)),""))</f>
        <v/>
      </c>
      <c r="K247" s="8"/>
      <c r="L247" s="9" t="str">
        <f aca="false">IF(K247="","",IF(K247=G247,"Y","N"))</f>
        <v/>
      </c>
    </row>
    <row r="248" customFormat="false" ht="15" hidden="false" customHeight="false" outlineLevel="0" collapsed="false">
      <c r="I248" s="3" t="str">
        <f aca="false">IF(H248="","",IFERROR(INDEX(Codes!$B$2:$B$30,MATCH(H248,Codes!$A$2:$A$30,0)),""))</f>
        <v/>
      </c>
      <c r="K248" s="8"/>
      <c r="L248" s="9" t="str">
        <f aca="false">IF(K248="","",IF(K248=G248,"Y","N"))</f>
        <v/>
      </c>
    </row>
    <row r="249" customFormat="false" ht="15" hidden="false" customHeight="false" outlineLevel="0" collapsed="false">
      <c r="I249" s="3" t="str">
        <f aca="false">IF(H249="","",IFERROR(INDEX(Codes!$B$2:$B$30,MATCH(H249,Codes!$A$2:$A$30,0)),""))</f>
        <v/>
      </c>
      <c r="K249" s="8"/>
      <c r="L249" s="9" t="str">
        <f aca="false">IF(K249="","",IF(K249=G249,"Y","N"))</f>
        <v/>
      </c>
    </row>
    <row r="250" customFormat="false" ht="15" hidden="false" customHeight="false" outlineLevel="0" collapsed="false">
      <c r="I250" s="3" t="str">
        <f aca="false">IF(H250="","",IFERROR(INDEX(Codes!$B$2:$B$30,MATCH(H250,Codes!$A$2:$A$30,0)),""))</f>
        <v/>
      </c>
      <c r="K250" s="8"/>
      <c r="L250" s="9" t="str">
        <f aca="false">IF(K250="","",IF(K250=G250,"Y","N"))</f>
        <v/>
      </c>
    </row>
    <row r="251" customFormat="false" ht="15" hidden="false" customHeight="false" outlineLevel="0" collapsed="false">
      <c r="I251" s="3" t="str">
        <f aca="false">IF(H251="","",IFERROR(INDEX(Codes!$B$2:$B$30,MATCH(H251,Codes!$A$2:$A$30,0)),""))</f>
        <v/>
      </c>
      <c r="K251" s="8"/>
      <c r="L251" s="9" t="str">
        <f aca="false">IF(K251="","",IF(K251=G251,"Y","N"))</f>
        <v/>
      </c>
    </row>
    <row r="252" customFormat="false" ht="15" hidden="false" customHeight="false" outlineLevel="0" collapsed="false">
      <c r="I252" s="3" t="str">
        <f aca="false">IF(H252="","",IFERROR(INDEX(Codes!$B$2:$B$30,MATCH(H252,Codes!$A$2:$A$30,0)),""))</f>
        <v/>
      </c>
      <c r="K252" s="8"/>
      <c r="L252" s="9" t="str">
        <f aca="false">IF(K252="","",IF(K252=G252,"Y","N"))</f>
        <v/>
      </c>
    </row>
    <row r="253" customFormat="false" ht="15" hidden="false" customHeight="false" outlineLevel="0" collapsed="false">
      <c r="I253" s="3" t="str">
        <f aca="false">IF(H253="","",IFERROR(INDEX(Codes!$B$2:$B$30,MATCH(H253,Codes!$A$2:$A$30,0)),""))</f>
        <v/>
      </c>
      <c r="K253" s="8"/>
      <c r="L253" s="9" t="str">
        <f aca="false">IF(K253="","",IF(K253=G253,"Y","N"))</f>
        <v/>
      </c>
    </row>
    <row r="254" customFormat="false" ht="15" hidden="false" customHeight="false" outlineLevel="0" collapsed="false">
      <c r="I254" s="3" t="str">
        <f aca="false">IF(H254="","",IFERROR(INDEX(Codes!$B$2:$B$30,MATCH(H254,Codes!$A$2:$A$30,0)),""))</f>
        <v/>
      </c>
      <c r="K254" s="8"/>
      <c r="L254" s="9" t="str">
        <f aca="false">IF(K254="","",IF(K254=G254,"Y","N"))</f>
        <v/>
      </c>
    </row>
    <row r="255" customFormat="false" ht="15" hidden="false" customHeight="false" outlineLevel="0" collapsed="false">
      <c r="I255" s="3" t="str">
        <f aca="false">IF(H255="","",IFERROR(INDEX(Codes!$B$2:$B$30,MATCH(H255,Codes!$A$2:$A$30,0)),""))</f>
        <v/>
      </c>
      <c r="K255" s="8"/>
      <c r="L255" s="9" t="str">
        <f aca="false">IF(K255="","",IF(K255=G255,"Y","N"))</f>
        <v/>
      </c>
    </row>
    <row r="256" customFormat="false" ht="15" hidden="false" customHeight="false" outlineLevel="0" collapsed="false">
      <c r="I256" s="3" t="str">
        <f aca="false">IF(H256="","",IFERROR(INDEX(Codes!$B$2:$B$30,MATCH(H256,Codes!$A$2:$A$30,0)),""))</f>
        <v/>
      </c>
      <c r="K256" s="8"/>
      <c r="L256" s="9" t="str">
        <f aca="false">IF(K256="","",IF(K256=G256,"Y","N"))</f>
        <v/>
      </c>
    </row>
    <row r="257" customFormat="false" ht="15" hidden="false" customHeight="false" outlineLevel="0" collapsed="false">
      <c r="I257" s="3" t="str">
        <f aca="false">IF(H257="","",IFERROR(INDEX(Codes!$B$2:$B$30,MATCH(H257,Codes!$A$2:$A$30,0)),""))</f>
        <v/>
      </c>
      <c r="K257" s="8"/>
      <c r="L257" s="9" t="str">
        <f aca="false">IF(K257="","",IF(K257=G257,"Y","N"))</f>
        <v/>
      </c>
    </row>
    <row r="258" customFormat="false" ht="15" hidden="false" customHeight="false" outlineLevel="0" collapsed="false">
      <c r="I258" s="3" t="str">
        <f aca="false">IF(H258="","",IFERROR(INDEX(Codes!$B$2:$B$30,MATCH(H258,Codes!$A$2:$A$30,0)),""))</f>
        <v/>
      </c>
      <c r="K258" s="8"/>
      <c r="L258" s="9" t="str">
        <f aca="false">IF(K258="","",IF(K258=G258,"Y","N"))</f>
        <v/>
      </c>
    </row>
    <row r="259" customFormat="false" ht="15" hidden="false" customHeight="false" outlineLevel="0" collapsed="false">
      <c r="I259" s="3" t="str">
        <f aca="false">IF(H259="","",IFERROR(INDEX(Codes!$B$2:$B$30,MATCH(H259,Codes!$A$2:$A$30,0)),""))</f>
        <v/>
      </c>
      <c r="K259" s="8"/>
      <c r="L259" s="9" t="str">
        <f aca="false">IF(K259="","",IF(K259=G259,"Y","N"))</f>
        <v/>
      </c>
    </row>
    <row r="260" customFormat="false" ht="15" hidden="false" customHeight="false" outlineLevel="0" collapsed="false">
      <c r="I260" s="3" t="str">
        <f aca="false">IF(H260="","",IFERROR(INDEX(Codes!$B$2:$B$30,MATCH(H260,Codes!$A$2:$A$30,0)),""))</f>
        <v/>
      </c>
      <c r="K260" s="8"/>
      <c r="L260" s="9" t="str">
        <f aca="false">IF(K260="","",IF(K260=G260,"Y","N"))</f>
        <v/>
      </c>
    </row>
    <row r="261" customFormat="false" ht="15" hidden="false" customHeight="false" outlineLevel="0" collapsed="false">
      <c r="I261" s="3" t="str">
        <f aca="false">IF(H261="","",IFERROR(INDEX(Codes!$B$2:$B$30,MATCH(H261,Codes!$A$2:$A$30,0)),""))</f>
        <v/>
      </c>
      <c r="K261" s="8"/>
      <c r="L261" s="9" t="str">
        <f aca="false">IF(K261="","",IF(K261=G261,"Y","N"))</f>
        <v/>
      </c>
    </row>
    <row r="262" customFormat="false" ht="15" hidden="false" customHeight="false" outlineLevel="0" collapsed="false">
      <c r="I262" s="3" t="str">
        <f aca="false">IF(H262="","",IFERROR(INDEX(Codes!$B$2:$B$30,MATCH(H262,Codes!$A$2:$A$30,0)),""))</f>
        <v/>
      </c>
      <c r="K262" s="8"/>
      <c r="L262" s="9" t="str">
        <f aca="false">IF(K262="","",IF(K262=G262,"Y","N"))</f>
        <v/>
      </c>
    </row>
    <row r="263" customFormat="false" ht="15" hidden="false" customHeight="false" outlineLevel="0" collapsed="false">
      <c r="I263" s="3" t="str">
        <f aca="false">IF(H263="","",IFERROR(INDEX(Codes!$B$2:$B$30,MATCH(H263,Codes!$A$2:$A$30,0)),""))</f>
        <v/>
      </c>
      <c r="K263" s="8"/>
      <c r="L263" s="9" t="str">
        <f aca="false">IF(K263="","",IF(K263=G263,"Y","N"))</f>
        <v/>
      </c>
    </row>
    <row r="264" customFormat="false" ht="15" hidden="false" customHeight="false" outlineLevel="0" collapsed="false">
      <c r="I264" s="3" t="str">
        <f aca="false">IF(H264="","",IFERROR(INDEX(Codes!$B$2:$B$30,MATCH(H264,Codes!$A$2:$A$30,0)),""))</f>
        <v/>
      </c>
      <c r="K264" s="8"/>
      <c r="L264" s="9" t="str">
        <f aca="false">IF(K264="","",IF(K264=G264,"Y","N"))</f>
        <v/>
      </c>
    </row>
    <row r="265" customFormat="false" ht="15" hidden="false" customHeight="false" outlineLevel="0" collapsed="false">
      <c r="I265" s="3" t="str">
        <f aca="false">IF(H265="","",IFERROR(INDEX(Codes!$B$2:$B$30,MATCH(H265,Codes!$A$2:$A$30,0)),""))</f>
        <v/>
      </c>
      <c r="K265" s="8"/>
      <c r="L265" s="9" t="str">
        <f aca="false">IF(K265="","",IF(K265=G265,"Y","N"))</f>
        <v/>
      </c>
    </row>
    <row r="266" customFormat="false" ht="15" hidden="false" customHeight="false" outlineLevel="0" collapsed="false">
      <c r="I266" s="3" t="str">
        <f aca="false">IF(H266="","",IFERROR(INDEX(Codes!$B$2:$B$30,MATCH(H266,Codes!$A$2:$A$30,0)),""))</f>
        <v/>
      </c>
      <c r="K266" s="8"/>
      <c r="L266" s="9" t="str">
        <f aca="false">IF(K266="","",IF(K266=G266,"Y","N"))</f>
        <v/>
      </c>
    </row>
    <row r="267" customFormat="false" ht="15" hidden="false" customHeight="false" outlineLevel="0" collapsed="false">
      <c r="I267" s="3" t="str">
        <f aca="false">IF(H267="","",IFERROR(INDEX(Codes!$B$2:$B$30,MATCH(H267,Codes!$A$2:$A$30,0)),""))</f>
        <v/>
      </c>
      <c r="K267" s="8"/>
      <c r="L267" s="9" t="str">
        <f aca="false">IF(K267="","",IF(K267=G267,"Y","N"))</f>
        <v/>
      </c>
    </row>
    <row r="268" customFormat="false" ht="15" hidden="false" customHeight="false" outlineLevel="0" collapsed="false">
      <c r="I268" s="3" t="str">
        <f aca="false">IF(H268="","",IFERROR(INDEX(Codes!$B$2:$B$30,MATCH(H268,Codes!$A$2:$A$30,0)),""))</f>
        <v/>
      </c>
      <c r="K268" s="8"/>
      <c r="L268" s="9" t="str">
        <f aca="false">IF(K268="","",IF(K268=G268,"Y","N"))</f>
        <v/>
      </c>
    </row>
    <row r="269" customFormat="false" ht="15" hidden="false" customHeight="false" outlineLevel="0" collapsed="false">
      <c r="I269" s="3" t="str">
        <f aca="false">IF(H269="","",IFERROR(INDEX(Codes!$B$2:$B$30,MATCH(H269,Codes!$A$2:$A$30,0)),""))</f>
        <v/>
      </c>
      <c r="K269" s="8"/>
      <c r="L269" s="9" t="str">
        <f aca="false">IF(K269="","",IF(K269=G269,"Y","N"))</f>
        <v/>
      </c>
    </row>
    <row r="270" customFormat="false" ht="15" hidden="false" customHeight="false" outlineLevel="0" collapsed="false">
      <c r="I270" s="3" t="str">
        <f aca="false">IF(H270="","",IFERROR(INDEX(Codes!$B$2:$B$30,MATCH(H270,Codes!$A$2:$A$30,0)),""))</f>
        <v/>
      </c>
      <c r="K270" s="8"/>
      <c r="L270" s="9" t="str">
        <f aca="false">IF(K270="","",IF(K270=G270,"Y","N"))</f>
        <v/>
      </c>
    </row>
    <row r="271" customFormat="false" ht="15" hidden="false" customHeight="false" outlineLevel="0" collapsed="false">
      <c r="I271" s="3" t="str">
        <f aca="false">IF(H271="","",IFERROR(INDEX(Codes!$B$2:$B$30,MATCH(H271,Codes!$A$2:$A$30,0)),""))</f>
        <v/>
      </c>
      <c r="K271" s="8"/>
      <c r="L271" s="9" t="str">
        <f aca="false">IF(K271="","",IF(K271=G271,"Y","N"))</f>
        <v/>
      </c>
    </row>
    <row r="272" customFormat="false" ht="15" hidden="false" customHeight="false" outlineLevel="0" collapsed="false">
      <c r="I272" s="3" t="str">
        <f aca="false">IF(H272="","",IFERROR(INDEX(Codes!$B$2:$B$30,MATCH(H272,Codes!$A$2:$A$30,0)),""))</f>
        <v/>
      </c>
      <c r="K272" s="8"/>
      <c r="L272" s="9" t="str">
        <f aca="false">IF(K272="","",IF(K272=G272,"Y","N"))</f>
        <v/>
      </c>
    </row>
    <row r="273" customFormat="false" ht="15" hidden="false" customHeight="false" outlineLevel="0" collapsed="false">
      <c r="I273" s="3" t="str">
        <f aca="false">IF(H273="","",IFERROR(INDEX(Codes!$B$2:$B$30,MATCH(H273,Codes!$A$2:$A$30,0)),""))</f>
        <v/>
      </c>
      <c r="K273" s="8"/>
      <c r="L273" s="9" t="str">
        <f aca="false">IF(K273="","",IF(K273=G273,"Y","N"))</f>
        <v/>
      </c>
    </row>
    <row r="274" customFormat="false" ht="15" hidden="false" customHeight="false" outlineLevel="0" collapsed="false">
      <c r="I274" s="3" t="str">
        <f aca="false">IF(H274="","",IFERROR(INDEX(Codes!$B$2:$B$30,MATCH(H274,Codes!$A$2:$A$30,0)),""))</f>
        <v/>
      </c>
      <c r="K274" s="8"/>
      <c r="L274" s="9" t="str">
        <f aca="false">IF(K274="","",IF(K274=G274,"Y","N"))</f>
        <v/>
      </c>
    </row>
    <row r="275" customFormat="false" ht="15" hidden="false" customHeight="false" outlineLevel="0" collapsed="false">
      <c r="I275" s="3" t="str">
        <f aca="false">IF(H275="","",IFERROR(INDEX(Codes!$B$2:$B$30,MATCH(H275,Codes!$A$2:$A$30,0)),""))</f>
        <v/>
      </c>
      <c r="K275" s="8"/>
      <c r="L275" s="9" t="str">
        <f aca="false">IF(K275="","",IF(K275=G275,"Y","N"))</f>
        <v/>
      </c>
    </row>
    <row r="276" customFormat="false" ht="15" hidden="false" customHeight="false" outlineLevel="0" collapsed="false">
      <c r="I276" s="3" t="str">
        <f aca="false">IF(H276="","",IFERROR(INDEX(Codes!$B$2:$B$30,MATCH(H276,Codes!$A$2:$A$30,0)),""))</f>
        <v/>
      </c>
      <c r="K276" s="8"/>
      <c r="L276" s="9" t="str">
        <f aca="false">IF(K276="","",IF(K276=G276,"Y","N"))</f>
        <v/>
      </c>
    </row>
    <row r="277" customFormat="false" ht="15" hidden="false" customHeight="false" outlineLevel="0" collapsed="false">
      <c r="I277" s="3" t="str">
        <f aca="false">IF(H277="","",IFERROR(INDEX(Codes!$B$2:$B$30,MATCH(H277,Codes!$A$2:$A$30,0)),""))</f>
        <v/>
      </c>
      <c r="K277" s="8"/>
      <c r="L277" s="9" t="str">
        <f aca="false">IF(K277="","",IF(K277=G277,"Y","N"))</f>
        <v/>
      </c>
    </row>
    <row r="278" customFormat="false" ht="15" hidden="false" customHeight="false" outlineLevel="0" collapsed="false">
      <c r="I278" s="3" t="str">
        <f aca="false">IF(H278="","",IFERROR(INDEX(Codes!$B$2:$B$30,MATCH(H278,Codes!$A$2:$A$30,0)),""))</f>
        <v/>
      </c>
      <c r="K278" s="8"/>
      <c r="L278" s="9" t="str">
        <f aca="false">IF(K278="","",IF(K278=G278,"Y","N"))</f>
        <v/>
      </c>
    </row>
    <row r="279" customFormat="false" ht="15" hidden="false" customHeight="false" outlineLevel="0" collapsed="false">
      <c r="I279" s="3" t="str">
        <f aca="false">IF(H279="","",IFERROR(INDEX(Codes!$B$2:$B$30,MATCH(H279,Codes!$A$2:$A$30,0)),""))</f>
        <v/>
      </c>
      <c r="K279" s="8"/>
      <c r="L279" s="9" t="str">
        <f aca="false">IF(K279="","",IF(K279=G279,"Y","N"))</f>
        <v/>
      </c>
    </row>
    <row r="280" customFormat="false" ht="15" hidden="false" customHeight="false" outlineLevel="0" collapsed="false">
      <c r="I280" s="3" t="str">
        <f aca="false">IF(H280="","",IFERROR(INDEX(Codes!$B$2:$B$30,MATCH(H280,Codes!$A$2:$A$30,0)),""))</f>
        <v/>
      </c>
      <c r="K280" s="8"/>
      <c r="L280" s="9" t="str">
        <f aca="false">IF(K280="","",IF(K280=G280,"Y","N"))</f>
        <v/>
      </c>
    </row>
    <row r="281" customFormat="false" ht="15" hidden="false" customHeight="false" outlineLevel="0" collapsed="false">
      <c r="I281" s="3" t="str">
        <f aca="false">IF(H281="","",IFERROR(INDEX(Codes!$B$2:$B$30,MATCH(H281,Codes!$A$2:$A$30,0)),""))</f>
        <v/>
      </c>
      <c r="K281" s="8"/>
      <c r="L281" s="9" t="str">
        <f aca="false">IF(K281="","",IF(K281=G281,"Y","N"))</f>
        <v/>
      </c>
    </row>
    <row r="282" customFormat="false" ht="15" hidden="false" customHeight="false" outlineLevel="0" collapsed="false">
      <c r="I282" s="3" t="str">
        <f aca="false">IF(H282="","",IFERROR(INDEX(Codes!$B$2:$B$30,MATCH(H282,Codes!$A$2:$A$30,0)),""))</f>
        <v/>
      </c>
      <c r="K282" s="8"/>
      <c r="L282" s="9" t="str">
        <f aca="false">IF(K282="","",IF(K282=G282,"Y","N"))</f>
        <v/>
      </c>
    </row>
    <row r="283" customFormat="false" ht="15" hidden="false" customHeight="false" outlineLevel="0" collapsed="false">
      <c r="I283" s="3" t="str">
        <f aca="false">IF(H283="","",IFERROR(INDEX(Codes!$B$2:$B$30,MATCH(H283,Codes!$A$2:$A$30,0)),""))</f>
        <v/>
      </c>
      <c r="K283" s="8"/>
      <c r="L283" s="9" t="str">
        <f aca="false">IF(K283="","",IF(K283=G283,"Y","N"))</f>
        <v/>
      </c>
    </row>
    <row r="284" customFormat="false" ht="15" hidden="false" customHeight="false" outlineLevel="0" collapsed="false">
      <c r="I284" s="3" t="str">
        <f aca="false">IF(H284="","",IFERROR(INDEX(Codes!$B$2:$B$30,MATCH(H284,Codes!$A$2:$A$30,0)),""))</f>
        <v/>
      </c>
      <c r="K284" s="8"/>
      <c r="L284" s="9" t="str">
        <f aca="false">IF(K284="","",IF(K284=G284,"Y","N"))</f>
        <v/>
      </c>
    </row>
    <row r="285" customFormat="false" ht="15" hidden="false" customHeight="false" outlineLevel="0" collapsed="false">
      <c r="I285" s="3" t="str">
        <f aca="false">IF(H285="","",IFERROR(INDEX(Codes!$B$2:$B$30,MATCH(H285,Codes!$A$2:$A$30,0)),""))</f>
        <v/>
      </c>
      <c r="K285" s="8"/>
      <c r="L285" s="9" t="str">
        <f aca="false">IF(K285="","",IF(K285=G285,"Y","N"))</f>
        <v/>
      </c>
    </row>
    <row r="286" customFormat="false" ht="15" hidden="false" customHeight="false" outlineLevel="0" collapsed="false">
      <c r="I286" s="3" t="str">
        <f aca="false">IF(H286="","",IFERROR(INDEX(Codes!$B$2:$B$30,MATCH(H286,Codes!$A$2:$A$30,0)),""))</f>
        <v/>
      </c>
      <c r="K286" s="8"/>
      <c r="L286" s="9" t="str">
        <f aca="false">IF(K286="","",IF(K286=G286,"Y","N"))</f>
        <v/>
      </c>
    </row>
    <row r="287" customFormat="false" ht="15" hidden="false" customHeight="false" outlineLevel="0" collapsed="false">
      <c r="I287" s="3" t="str">
        <f aca="false">IF(H287="","",IFERROR(INDEX(Codes!$B$2:$B$30,MATCH(H287,Codes!$A$2:$A$30,0)),""))</f>
        <v/>
      </c>
      <c r="K287" s="8"/>
      <c r="L287" s="9" t="str">
        <f aca="false">IF(K287="","",IF(K287=G287,"Y","N"))</f>
        <v/>
      </c>
    </row>
    <row r="288" customFormat="false" ht="15" hidden="false" customHeight="false" outlineLevel="0" collapsed="false">
      <c r="I288" s="3" t="str">
        <f aca="false">IF(H288="","",IFERROR(INDEX(Codes!$B$2:$B$30,MATCH(H288,Codes!$A$2:$A$30,0)),""))</f>
        <v/>
      </c>
      <c r="K288" s="8"/>
      <c r="L288" s="9" t="str">
        <f aca="false">IF(K288="","",IF(K288=G288,"Y","N"))</f>
        <v/>
      </c>
    </row>
    <row r="289" customFormat="false" ht="15" hidden="false" customHeight="false" outlineLevel="0" collapsed="false">
      <c r="I289" s="3" t="str">
        <f aca="false">IF(H289="","",IFERROR(INDEX(Codes!$B$2:$B$30,MATCH(H289,Codes!$A$2:$A$30,0)),""))</f>
        <v/>
      </c>
      <c r="K289" s="8"/>
      <c r="L289" s="9" t="str">
        <f aca="false">IF(K289="","",IF(K289=G289,"Y","N"))</f>
        <v/>
      </c>
    </row>
    <row r="290" customFormat="false" ht="15" hidden="false" customHeight="false" outlineLevel="0" collapsed="false">
      <c r="I290" s="3" t="str">
        <f aca="false">IF(H290="","",IFERROR(INDEX(Codes!$B$2:$B$30,MATCH(H290,Codes!$A$2:$A$30,0)),""))</f>
        <v/>
      </c>
      <c r="K290" s="8"/>
      <c r="L290" s="9" t="str">
        <f aca="false">IF(K290="","",IF(K290=G290,"Y","N"))</f>
        <v/>
      </c>
    </row>
    <row r="291" customFormat="false" ht="15" hidden="false" customHeight="false" outlineLevel="0" collapsed="false">
      <c r="I291" s="3" t="str">
        <f aca="false">IF(H291="","",IFERROR(INDEX(Codes!$B$2:$B$30,MATCH(H291,Codes!$A$2:$A$30,0)),""))</f>
        <v/>
      </c>
      <c r="K291" s="8"/>
      <c r="L291" s="9" t="str">
        <f aca="false">IF(K291="","",IF(K291=G291,"Y","N"))</f>
        <v/>
      </c>
    </row>
    <row r="292" customFormat="false" ht="15" hidden="false" customHeight="false" outlineLevel="0" collapsed="false">
      <c r="I292" s="3" t="str">
        <f aca="false">IF(H292="","",IFERROR(INDEX(Codes!$B$2:$B$30,MATCH(H292,Codes!$A$2:$A$30,0)),""))</f>
        <v/>
      </c>
      <c r="K292" s="8"/>
      <c r="L292" s="9" t="str">
        <f aca="false">IF(K292="","",IF(K292=G292,"Y","N"))</f>
        <v/>
      </c>
    </row>
    <row r="293" customFormat="false" ht="15" hidden="false" customHeight="false" outlineLevel="0" collapsed="false">
      <c r="I293" s="3" t="str">
        <f aca="false">IF(H293="","",IFERROR(INDEX(Codes!$B$2:$B$30,MATCH(H293,Codes!$A$2:$A$30,0)),""))</f>
        <v/>
      </c>
      <c r="K293" s="8"/>
      <c r="L293" s="9" t="str">
        <f aca="false">IF(K293="","",IF(K293=G293,"Y","N"))</f>
        <v/>
      </c>
    </row>
    <row r="294" customFormat="false" ht="15" hidden="false" customHeight="false" outlineLevel="0" collapsed="false">
      <c r="I294" s="3" t="str">
        <f aca="false">IF(H294="","",IFERROR(INDEX(Codes!$B$2:$B$30,MATCH(H294,Codes!$A$2:$A$30,0)),""))</f>
        <v/>
      </c>
      <c r="K294" s="8"/>
      <c r="L294" s="9" t="str">
        <f aca="false">IF(K294="","",IF(K294=G294,"Y","N"))</f>
        <v/>
      </c>
    </row>
    <row r="295" customFormat="false" ht="15" hidden="false" customHeight="false" outlineLevel="0" collapsed="false">
      <c r="I295" s="3" t="str">
        <f aca="false">IF(H295="","",IFERROR(INDEX(Codes!$B$2:$B$30,MATCH(H295,Codes!$A$2:$A$30,0)),""))</f>
        <v/>
      </c>
      <c r="K295" s="8"/>
      <c r="L295" s="9" t="str">
        <f aca="false">IF(K295="","",IF(K295=G295,"Y","N"))</f>
        <v/>
      </c>
    </row>
    <row r="296" customFormat="false" ht="15" hidden="false" customHeight="false" outlineLevel="0" collapsed="false">
      <c r="I296" s="3" t="str">
        <f aca="false">IF(H296="","",IFERROR(INDEX(Codes!$B$2:$B$30,MATCH(H296,Codes!$A$2:$A$30,0)),""))</f>
        <v/>
      </c>
      <c r="K296" s="8"/>
      <c r="L296" s="9" t="str">
        <f aca="false">IF(K296="","",IF(K296=G296,"Y","N"))</f>
        <v/>
      </c>
    </row>
    <row r="297" customFormat="false" ht="15" hidden="false" customHeight="false" outlineLevel="0" collapsed="false">
      <c r="I297" s="3" t="str">
        <f aca="false">IF(H297="","",IFERROR(INDEX(Codes!$B$2:$B$30,MATCH(H297,Codes!$A$2:$A$30,0)),""))</f>
        <v/>
      </c>
      <c r="K297" s="8"/>
      <c r="L297" s="9" t="str">
        <f aca="false">IF(K297="","",IF(K297=G297,"Y","N"))</f>
        <v/>
      </c>
    </row>
    <row r="298" customFormat="false" ht="15" hidden="false" customHeight="false" outlineLevel="0" collapsed="false">
      <c r="I298" s="3" t="str">
        <f aca="false">IF(H298="","",IFERROR(INDEX(Codes!$B$2:$B$30,MATCH(H298,Codes!$A$2:$A$30,0)),""))</f>
        <v/>
      </c>
      <c r="K298" s="8"/>
      <c r="L298" s="9" t="str">
        <f aca="false">IF(K298="","",IF(K298=G298,"Y","N"))</f>
        <v/>
      </c>
    </row>
    <row r="299" customFormat="false" ht="15" hidden="false" customHeight="false" outlineLevel="0" collapsed="false">
      <c r="I299" s="3" t="str">
        <f aca="false">IF(H299="","",IFERROR(INDEX(Codes!$B$2:$B$30,MATCH(H299,Codes!$A$2:$A$30,0)),""))</f>
        <v/>
      </c>
      <c r="K299" s="8"/>
      <c r="L299" s="9" t="str">
        <f aca="false">IF(K299="","",IF(K299=G299,"Y","N"))</f>
        <v/>
      </c>
    </row>
    <row r="300" customFormat="false" ht="15" hidden="false" customHeight="false" outlineLevel="0" collapsed="false">
      <c r="I300" s="3" t="str">
        <f aca="false">IF(H300="","",IFERROR(INDEX(Codes!$B$2:$B$30,MATCH(H300,Codes!$A$2:$A$30,0)),""))</f>
        <v/>
      </c>
      <c r="K300" s="8"/>
      <c r="L300" s="9" t="str">
        <f aca="false">IF(K300="","",IF(K300=G300,"Y","N"))</f>
        <v/>
      </c>
    </row>
    <row r="301" customFormat="false" ht="15" hidden="false" customHeight="false" outlineLevel="0" collapsed="false">
      <c r="I301" s="3" t="str">
        <f aca="false">IF(H301="","",IFERROR(INDEX(Codes!$B$2:$B$30,MATCH(H301,Codes!$A$2:$A$30,0)),""))</f>
        <v/>
      </c>
      <c r="K301" s="8"/>
      <c r="L301" s="9" t="str">
        <f aca="false">IF(K301="","",IF(K301=G301,"Y","N"))</f>
        <v/>
      </c>
    </row>
    <row r="302" customFormat="false" ht="15" hidden="false" customHeight="false" outlineLevel="0" collapsed="false">
      <c r="I302" s="3" t="str">
        <f aca="false">IF(H302="","",IFERROR(INDEX(Codes!$B$2:$B$30,MATCH(H302,Codes!$A$2:$A$30,0)),""))</f>
        <v/>
      </c>
      <c r="K302" s="8"/>
      <c r="L302" s="9" t="str">
        <f aca="false">IF(K302="","",IF(K302=G302,"Y","N"))</f>
        <v/>
      </c>
    </row>
    <row r="303" customFormat="false" ht="15" hidden="false" customHeight="false" outlineLevel="0" collapsed="false">
      <c r="I303" s="3" t="str">
        <f aca="false">IF(H303="","",IFERROR(INDEX(Codes!$B$2:$B$30,MATCH(H303,Codes!$A$2:$A$30,0)),""))</f>
        <v/>
      </c>
      <c r="K303" s="8"/>
      <c r="L303" s="9" t="str">
        <f aca="false">IF(K303="","",IF(K303=G303,"Y","N"))</f>
        <v/>
      </c>
    </row>
    <row r="304" customFormat="false" ht="15" hidden="false" customHeight="false" outlineLevel="0" collapsed="false">
      <c r="I304" s="3" t="str">
        <f aca="false">IF(H304="","",IFERROR(INDEX(Codes!$B$2:$B$30,MATCH(H304,Codes!$A$2:$A$30,0)),""))</f>
        <v/>
      </c>
      <c r="K304" s="8"/>
      <c r="L304" s="9" t="str">
        <f aca="false">IF(K304="","",IF(K304=G304,"Y","N"))</f>
        <v/>
      </c>
    </row>
    <row r="305" customFormat="false" ht="15" hidden="false" customHeight="false" outlineLevel="0" collapsed="false">
      <c r="I305" s="3" t="str">
        <f aca="false">IF(H305="","",IFERROR(INDEX(Codes!$B$2:$B$30,MATCH(H305,Codes!$A$2:$A$30,0)),""))</f>
        <v/>
      </c>
      <c r="K305" s="8"/>
      <c r="L305" s="9" t="str">
        <f aca="false">IF(K305="","",IF(K305=G305,"Y","N"))</f>
        <v/>
      </c>
    </row>
    <row r="306" customFormat="false" ht="15" hidden="false" customHeight="false" outlineLevel="0" collapsed="false">
      <c r="I306" s="3" t="str">
        <f aca="false">IF(H306="","",IFERROR(INDEX(Codes!$B$2:$B$30,MATCH(H306,Codes!$A$2:$A$30,0)),""))</f>
        <v/>
      </c>
      <c r="K306" s="8"/>
      <c r="L306" s="9" t="str">
        <f aca="false">IF(K306="","",IF(K306=G306,"Y","N"))</f>
        <v/>
      </c>
    </row>
    <row r="307" customFormat="false" ht="15" hidden="false" customHeight="false" outlineLevel="0" collapsed="false">
      <c r="I307" s="3" t="str">
        <f aca="false">IF(H307="","",IFERROR(INDEX(Codes!$B$2:$B$30,MATCH(H307,Codes!$A$2:$A$30,0)),""))</f>
        <v/>
      </c>
      <c r="K307" s="8"/>
      <c r="L307" s="9" t="str">
        <f aca="false">IF(K307="","",IF(K307=G307,"Y","N"))</f>
        <v/>
      </c>
    </row>
    <row r="308" customFormat="false" ht="15" hidden="false" customHeight="false" outlineLevel="0" collapsed="false">
      <c r="I308" s="3" t="str">
        <f aca="false">IF(H308="","",IFERROR(INDEX(Codes!$B$2:$B$30,MATCH(H308,Codes!$A$2:$A$30,0)),""))</f>
        <v/>
      </c>
      <c r="K308" s="8"/>
      <c r="L308" s="9" t="str">
        <f aca="false">IF(K308="","",IF(K308=G308,"Y","N"))</f>
        <v/>
      </c>
    </row>
    <row r="309" customFormat="false" ht="15" hidden="false" customHeight="false" outlineLevel="0" collapsed="false">
      <c r="I309" s="3" t="str">
        <f aca="false">IF(H309="","",IFERROR(INDEX(Codes!$B$2:$B$30,MATCH(H309,Codes!$A$2:$A$30,0)),""))</f>
        <v/>
      </c>
      <c r="K309" s="8"/>
      <c r="L309" s="9" t="str">
        <f aca="false">IF(K309="","",IF(K309=G309,"Y","N"))</f>
        <v/>
      </c>
    </row>
    <row r="310" customFormat="false" ht="15" hidden="false" customHeight="false" outlineLevel="0" collapsed="false">
      <c r="I310" s="3" t="str">
        <f aca="false">IF(H310="","",IFERROR(INDEX(Codes!$B$2:$B$30,MATCH(H310,Codes!$A$2:$A$30,0)),""))</f>
        <v/>
      </c>
      <c r="K310" s="8"/>
      <c r="L310" s="9" t="str">
        <f aca="false">IF(K310="","",IF(K310=G310,"Y","N"))</f>
        <v/>
      </c>
    </row>
    <row r="311" customFormat="false" ht="15" hidden="false" customHeight="false" outlineLevel="0" collapsed="false">
      <c r="I311" s="3" t="str">
        <f aca="false">IF(H311="","",IFERROR(INDEX(Codes!$B$2:$B$30,MATCH(H311,Codes!$A$2:$A$30,0)),""))</f>
        <v/>
      </c>
      <c r="K311" s="8"/>
      <c r="L311" s="9" t="str">
        <f aca="false">IF(K311="","",IF(K311=G311,"Y","N"))</f>
        <v/>
      </c>
    </row>
    <row r="312" customFormat="false" ht="15" hidden="false" customHeight="false" outlineLevel="0" collapsed="false">
      <c r="I312" s="3" t="str">
        <f aca="false">IF(H312="","",IFERROR(INDEX(Codes!$B$2:$B$30,MATCH(H312,Codes!$A$2:$A$30,0)),""))</f>
        <v/>
      </c>
      <c r="K312" s="8"/>
      <c r="L312" s="9" t="str">
        <f aca="false">IF(K312="","",IF(K312=G312,"Y","N"))</f>
        <v/>
      </c>
    </row>
    <row r="313" customFormat="false" ht="15" hidden="false" customHeight="false" outlineLevel="0" collapsed="false">
      <c r="I313" s="3" t="str">
        <f aca="false">IF(H313="","",IFERROR(INDEX(Codes!$B$2:$B$30,MATCH(H313,Codes!$A$2:$A$30,0)),""))</f>
        <v/>
      </c>
      <c r="K313" s="8"/>
      <c r="L313" s="9" t="str">
        <f aca="false">IF(K313="","",IF(K313=G313,"Y","N"))</f>
        <v/>
      </c>
    </row>
    <row r="314" customFormat="false" ht="15" hidden="false" customHeight="false" outlineLevel="0" collapsed="false">
      <c r="I314" s="3" t="str">
        <f aca="false">IF(H314="","",IFERROR(INDEX(Codes!$B$2:$B$30,MATCH(H314,Codes!$A$2:$A$30,0)),""))</f>
        <v/>
      </c>
      <c r="K314" s="8"/>
      <c r="L314" s="9" t="str">
        <f aca="false">IF(K314="","",IF(K314=G314,"Y","N"))</f>
        <v/>
      </c>
    </row>
    <row r="315" customFormat="false" ht="15" hidden="false" customHeight="false" outlineLevel="0" collapsed="false">
      <c r="I315" s="3" t="str">
        <f aca="false">IF(H315="","",IFERROR(INDEX(Codes!$B$2:$B$30,MATCH(H315,Codes!$A$2:$A$30,0)),""))</f>
        <v/>
      </c>
      <c r="K315" s="8"/>
      <c r="L315" s="9" t="str">
        <f aca="false">IF(K315="","",IF(K315=G315,"Y","N"))</f>
        <v/>
      </c>
    </row>
    <row r="316" customFormat="false" ht="15" hidden="false" customHeight="false" outlineLevel="0" collapsed="false">
      <c r="I316" s="3" t="str">
        <f aca="false">IF(H316="","",IFERROR(INDEX(Codes!$B$2:$B$30,MATCH(H316,Codes!$A$2:$A$30,0)),""))</f>
        <v/>
      </c>
      <c r="K316" s="8"/>
      <c r="L316" s="9" t="str">
        <f aca="false">IF(K316="","",IF(K316=G316,"Y","N"))</f>
        <v/>
      </c>
    </row>
    <row r="317" customFormat="false" ht="15" hidden="false" customHeight="false" outlineLevel="0" collapsed="false">
      <c r="I317" s="3" t="str">
        <f aca="false">IF(H317="","",IFERROR(INDEX(Codes!$B$2:$B$30,MATCH(H317,Codes!$A$2:$A$30,0)),""))</f>
        <v/>
      </c>
      <c r="K317" s="8"/>
      <c r="L317" s="9" t="str">
        <f aca="false">IF(K317="","",IF(K317=G317,"Y","N"))</f>
        <v/>
      </c>
    </row>
    <row r="318" customFormat="false" ht="15" hidden="false" customHeight="false" outlineLevel="0" collapsed="false">
      <c r="I318" s="3" t="str">
        <f aca="false">IF(H318="","",IFERROR(INDEX(Codes!$B$2:$B$30,MATCH(H318,Codes!$A$2:$A$30,0)),""))</f>
        <v/>
      </c>
      <c r="K318" s="8"/>
      <c r="L318" s="9" t="str">
        <f aca="false">IF(K318="","",IF(K318=G318,"Y","N"))</f>
        <v/>
      </c>
    </row>
    <row r="319" customFormat="false" ht="15" hidden="false" customHeight="false" outlineLevel="0" collapsed="false">
      <c r="I319" s="3" t="str">
        <f aca="false">IF(H319="","",IFERROR(INDEX(Codes!$B$2:$B$30,MATCH(H319,Codes!$A$2:$A$30,0)),""))</f>
        <v/>
      </c>
      <c r="K319" s="8"/>
      <c r="L319" s="9" t="str">
        <f aca="false">IF(K319="","",IF(K319=G319,"Y","N"))</f>
        <v/>
      </c>
    </row>
    <row r="320" customFormat="false" ht="15" hidden="false" customHeight="false" outlineLevel="0" collapsed="false">
      <c r="I320" s="3" t="str">
        <f aca="false">IF(H320="","",IFERROR(INDEX(Codes!$B$2:$B$30,MATCH(H320,Codes!$A$2:$A$30,0)),""))</f>
        <v/>
      </c>
      <c r="K320" s="8"/>
      <c r="L320" s="9" t="str">
        <f aca="false">IF(K320="","",IF(K320=G320,"Y","N"))</f>
        <v/>
      </c>
    </row>
    <row r="321" customFormat="false" ht="15" hidden="false" customHeight="false" outlineLevel="0" collapsed="false">
      <c r="I321" s="3" t="str">
        <f aca="false">IF(H321="","",IFERROR(INDEX(Codes!$B$2:$B$30,MATCH(H321,Codes!$A$2:$A$30,0)),""))</f>
        <v/>
      </c>
      <c r="K321" s="8"/>
      <c r="L321" s="9" t="str">
        <f aca="false">IF(K321="","",IF(K321=G321,"Y","N"))</f>
        <v/>
      </c>
    </row>
    <row r="322" customFormat="false" ht="15" hidden="false" customHeight="false" outlineLevel="0" collapsed="false">
      <c r="I322" s="3" t="str">
        <f aca="false">IF(H322="","",IFERROR(INDEX(Codes!$B$2:$B$30,MATCH(H322,Codes!$A$2:$A$30,0)),""))</f>
        <v/>
      </c>
      <c r="K322" s="8"/>
      <c r="L322" s="9" t="str">
        <f aca="false">IF(K322="","",IF(K322=G322,"Y","N"))</f>
        <v/>
      </c>
    </row>
    <row r="323" customFormat="false" ht="15" hidden="false" customHeight="false" outlineLevel="0" collapsed="false">
      <c r="I323" s="3" t="str">
        <f aca="false">IF(H323="","",IFERROR(INDEX(Codes!$B$2:$B$30,MATCH(H323,Codes!$A$2:$A$30,0)),""))</f>
        <v/>
      </c>
      <c r="K323" s="8"/>
      <c r="L323" s="9" t="str">
        <f aca="false">IF(K323="","",IF(K323=G323,"Y","N"))</f>
        <v/>
      </c>
    </row>
    <row r="324" customFormat="false" ht="15" hidden="false" customHeight="false" outlineLevel="0" collapsed="false">
      <c r="I324" s="3" t="str">
        <f aca="false">IF(H324="","",IFERROR(INDEX(Codes!$B$2:$B$30,MATCH(H324,Codes!$A$2:$A$30,0)),""))</f>
        <v/>
      </c>
      <c r="K324" s="8"/>
      <c r="L324" s="9" t="str">
        <f aca="false">IF(K324="","",IF(K324=G324,"Y","N"))</f>
        <v/>
      </c>
    </row>
    <row r="325" customFormat="false" ht="15" hidden="false" customHeight="false" outlineLevel="0" collapsed="false">
      <c r="I325" s="3" t="str">
        <f aca="false">IF(H325="","",IFERROR(INDEX(Codes!$B$2:$B$30,MATCH(H325,Codes!$A$2:$A$30,0)),""))</f>
        <v/>
      </c>
      <c r="K325" s="8"/>
      <c r="L325" s="9" t="str">
        <f aca="false">IF(K325="","",IF(K325=G325,"Y","N"))</f>
        <v/>
      </c>
    </row>
    <row r="326" customFormat="false" ht="15" hidden="false" customHeight="false" outlineLevel="0" collapsed="false">
      <c r="I326" s="3" t="str">
        <f aca="false">IF(H326="","",IFERROR(INDEX(Codes!$B$2:$B$30,MATCH(H326,Codes!$A$2:$A$30,0)),""))</f>
        <v/>
      </c>
      <c r="K326" s="8"/>
      <c r="L326" s="9" t="str">
        <f aca="false">IF(K326="","",IF(K326=G326,"Y","N"))</f>
        <v/>
      </c>
    </row>
    <row r="327" customFormat="false" ht="15" hidden="false" customHeight="false" outlineLevel="0" collapsed="false">
      <c r="I327" s="3" t="str">
        <f aca="false">IF(H327="","",IFERROR(INDEX(Codes!$B$2:$B$30,MATCH(H327,Codes!$A$2:$A$30,0)),""))</f>
        <v/>
      </c>
      <c r="K327" s="8"/>
      <c r="L327" s="9" t="str">
        <f aca="false">IF(K327="","",IF(K327=G327,"Y","N"))</f>
        <v/>
      </c>
    </row>
    <row r="328" customFormat="false" ht="15" hidden="false" customHeight="false" outlineLevel="0" collapsed="false">
      <c r="I328" s="3" t="str">
        <f aca="false">IF(H328="","",IFERROR(INDEX(Codes!$B$2:$B$30,MATCH(H328,Codes!$A$2:$A$30,0)),""))</f>
        <v/>
      </c>
      <c r="K328" s="8"/>
      <c r="L328" s="9" t="str">
        <f aca="false">IF(K328="","",IF(K328=G328,"Y","N"))</f>
        <v/>
      </c>
    </row>
    <row r="329" customFormat="false" ht="15" hidden="false" customHeight="false" outlineLevel="0" collapsed="false">
      <c r="I329" s="3" t="str">
        <f aca="false">IF(H329="","",IFERROR(INDEX(Codes!$B$2:$B$30,MATCH(H329,Codes!$A$2:$A$30,0)),""))</f>
        <v/>
      </c>
      <c r="K329" s="8"/>
      <c r="L329" s="9" t="str">
        <f aca="false">IF(K329="","",IF(K329=G329,"Y","N"))</f>
        <v/>
      </c>
    </row>
    <row r="330" customFormat="false" ht="15" hidden="false" customHeight="false" outlineLevel="0" collapsed="false">
      <c r="I330" s="3" t="str">
        <f aca="false">IF(H330="","",IFERROR(INDEX(Codes!$B$2:$B$30,MATCH(H330,Codes!$A$2:$A$30,0)),""))</f>
        <v/>
      </c>
      <c r="K330" s="8"/>
      <c r="L330" s="9" t="str">
        <f aca="false">IF(K330="","",IF(K330=G330,"Y","N"))</f>
        <v/>
      </c>
    </row>
    <row r="331" customFormat="false" ht="15" hidden="false" customHeight="false" outlineLevel="0" collapsed="false">
      <c r="I331" s="3" t="str">
        <f aca="false">IF(H331="","",IFERROR(INDEX(Codes!$B$2:$B$30,MATCH(H331,Codes!$A$2:$A$30,0)),""))</f>
        <v/>
      </c>
      <c r="K331" s="8"/>
      <c r="L331" s="9" t="str">
        <f aca="false">IF(K331="","",IF(K331=G331,"Y","N"))</f>
        <v/>
      </c>
    </row>
    <row r="332" customFormat="false" ht="15" hidden="false" customHeight="false" outlineLevel="0" collapsed="false">
      <c r="I332" s="3" t="str">
        <f aca="false">IF(H332="","",IFERROR(INDEX(Codes!$B$2:$B$30,MATCH(H332,Codes!$A$2:$A$30,0)),""))</f>
        <v/>
      </c>
      <c r="K332" s="8"/>
      <c r="L332" s="9" t="str">
        <f aca="false">IF(K332="","",IF(K332=G332,"Y","N"))</f>
        <v/>
      </c>
    </row>
    <row r="333" customFormat="false" ht="15" hidden="false" customHeight="false" outlineLevel="0" collapsed="false">
      <c r="I333" s="3" t="str">
        <f aca="false">IF(H333="","",IFERROR(INDEX(Codes!$B$2:$B$30,MATCH(H333,Codes!$A$2:$A$30,0)),""))</f>
        <v/>
      </c>
      <c r="K333" s="8"/>
      <c r="L333" s="9" t="str">
        <f aca="false">IF(K333="","",IF(K333=G333,"Y","N"))</f>
        <v/>
      </c>
    </row>
    <row r="334" customFormat="false" ht="15" hidden="false" customHeight="false" outlineLevel="0" collapsed="false">
      <c r="I334" s="3" t="str">
        <f aca="false">IF(H334="","",IFERROR(INDEX(Codes!$B$2:$B$30,MATCH(H334,Codes!$A$2:$A$30,0)),""))</f>
        <v/>
      </c>
      <c r="K334" s="8"/>
      <c r="L334" s="9" t="str">
        <f aca="false">IF(K334="","",IF(K334=G334,"Y","N"))</f>
        <v/>
      </c>
    </row>
    <row r="335" customFormat="false" ht="15" hidden="false" customHeight="false" outlineLevel="0" collapsed="false">
      <c r="I335" s="3" t="str">
        <f aca="false">IF(H335="","",IFERROR(INDEX(Codes!$B$2:$B$30,MATCH(H335,Codes!$A$2:$A$30,0)),""))</f>
        <v/>
      </c>
      <c r="K335" s="8"/>
      <c r="L335" s="9" t="str">
        <f aca="false">IF(K335="","",IF(K335=G335,"Y","N"))</f>
        <v/>
      </c>
    </row>
    <row r="336" customFormat="false" ht="15" hidden="false" customHeight="false" outlineLevel="0" collapsed="false">
      <c r="I336" s="3" t="str">
        <f aca="false">IF(H336="","",IFERROR(INDEX(Codes!$B$2:$B$30,MATCH(H336,Codes!$A$2:$A$30,0)),""))</f>
        <v/>
      </c>
      <c r="K336" s="8"/>
      <c r="L336" s="9" t="str">
        <f aca="false">IF(K336="","",IF(K336=G336,"Y","N"))</f>
        <v/>
      </c>
    </row>
    <row r="337" customFormat="false" ht="15" hidden="false" customHeight="false" outlineLevel="0" collapsed="false">
      <c r="I337" s="3" t="str">
        <f aca="false">IF(H337="","",IFERROR(INDEX(Codes!$B$2:$B$30,MATCH(H337,Codes!$A$2:$A$30,0)),""))</f>
        <v/>
      </c>
      <c r="K337" s="8"/>
      <c r="L337" s="9" t="str">
        <f aca="false">IF(K337="","",IF(K337=G337,"Y","N"))</f>
        <v/>
      </c>
    </row>
    <row r="338" customFormat="false" ht="15" hidden="false" customHeight="false" outlineLevel="0" collapsed="false">
      <c r="I338" s="3" t="str">
        <f aca="false">IF(H338="","",IFERROR(INDEX(Codes!$B$2:$B$30,MATCH(H338,Codes!$A$2:$A$30,0)),""))</f>
        <v/>
      </c>
      <c r="K338" s="8"/>
      <c r="L338" s="9" t="str">
        <f aca="false">IF(K338="","",IF(K338=G338,"Y","N"))</f>
        <v/>
      </c>
    </row>
    <row r="339" customFormat="false" ht="15" hidden="false" customHeight="false" outlineLevel="0" collapsed="false">
      <c r="I339" s="3" t="str">
        <f aca="false">IF(H339="","",IFERROR(INDEX(Codes!$B$2:$B$30,MATCH(H339,Codes!$A$2:$A$30,0)),""))</f>
        <v/>
      </c>
      <c r="K339" s="8"/>
      <c r="L339" s="9" t="str">
        <f aca="false">IF(K339="","",IF(K339=G339,"Y","N"))</f>
        <v/>
      </c>
    </row>
    <row r="340" customFormat="false" ht="15" hidden="false" customHeight="false" outlineLevel="0" collapsed="false">
      <c r="I340" s="3" t="str">
        <f aca="false">IF(H340="","",IFERROR(INDEX(Codes!$B$2:$B$30,MATCH(H340,Codes!$A$2:$A$30,0)),""))</f>
        <v/>
      </c>
      <c r="K340" s="8"/>
      <c r="L340" s="9" t="str">
        <f aca="false">IF(K340="","",IF(K340=G340,"Y","N"))</f>
        <v/>
      </c>
    </row>
    <row r="341" customFormat="false" ht="15" hidden="false" customHeight="false" outlineLevel="0" collapsed="false">
      <c r="I341" s="3" t="str">
        <f aca="false">IF(H341="","",IFERROR(INDEX(Codes!$B$2:$B$30,MATCH(H341,Codes!$A$2:$A$30,0)),""))</f>
        <v/>
      </c>
      <c r="K341" s="8"/>
      <c r="L341" s="9" t="str">
        <f aca="false">IF(K341="","",IF(K341=G341,"Y","N"))</f>
        <v/>
      </c>
    </row>
    <row r="342" customFormat="false" ht="15" hidden="false" customHeight="false" outlineLevel="0" collapsed="false">
      <c r="I342" s="3" t="str">
        <f aca="false">IF(H342="","",IFERROR(INDEX(Codes!$B$2:$B$30,MATCH(H342,Codes!$A$2:$A$30,0)),""))</f>
        <v/>
      </c>
      <c r="K342" s="8"/>
      <c r="L342" s="9" t="str">
        <f aca="false">IF(K342="","",IF(K342=G342,"Y","N"))</f>
        <v/>
      </c>
    </row>
    <row r="343" customFormat="false" ht="15" hidden="false" customHeight="false" outlineLevel="0" collapsed="false">
      <c r="I343" s="3" t="str">
        <f aca="false">IF(H343="","",IFERROR(INDEX(Codes!$B$2:$B$30,MATCH(H343,Codes!$A$2:$A$30,0)),""))</f>
        <v/>
      </c>
      <c r="K343" s="8"/>
      <c r="L343" s="9" t="str">
        <f aca="false">IF(K343="","",IF(K343=G343,"Y","N"))</f>
        <v/>
      </c>
    </row>
    <row r="344" customFormat="false" ht="15" hidden="false" customHeight="false" outlineLevel="0" collapsed="false">
      <c r="I344" s="3" t="str">
        <f aca="false">IF(H344="","",IFERROR(INDEX(Codes!$B$2:$B$30,MATCH(H344,Codes!$A$2:$A$30,0)),""))</f>
        <v/>
      </c>
      <c r="K344" s="8"/>
      <c r="L344" s="9" t="str">
        <f aca="false">IF(K344="","",IF(K344=G344,"Y","N"))</f>
        <v/>
      </c>
    </row>
    <row r="345" customFormat="false" ht="15" hidden="false" customHeight="false" outlineLevel="0" collapsed="false">
      <c r="I345" s="3" t="str">
        <f aca="false">IF(H345="","",IFERROR(INDEX(Codes!$B$2:$B$30,MATCH(H345,Codes!$A$2:$A$30,0)),""))</f>
        <v/>
      </c>
      <c r="K345" s="8"/>
      <c r="L345" s="9" t="str">
        <f aca="false">IF(K345="","",IF(K345=G345,"Y","N"))</f>
        <v/>
      </c>
    </row>
    <row r="346" customFormat="false" ht="15" hidden="false" customHeight="false" outlineLevel="0" collapsed="false">
      <c r="I346" s="3" t="str">
        <f aca="false">IF(H346="","",IFERROR(INDEX(Codes!$B$2:$B$30,MATCH(H346,Codes!$A$2:$A$30,0)),""))</f>
        <v/>
      </c>
      <c r="K346" s="8"/>
      <c r="L346" s="9" t="str">
        <f aca="false">IF(K346="","",IF(K346=G346,"Y","N"))</f>
        <v/>
      </c>
    </row>
    <row r="347" customFormat="false" ht="15" hidden="false" customHeight="false" outlineLevel="0" collapsed="false">
      <c r="I347" s="3" t="str">
        <f aca="false">IF(H347="","",IFERROR(INDEX(Codes!$B$2:$B$30,MATCH(H347,Codes!$A$2:$A$30,0)),""))</f>
        <v/>
      </c>
      <c r="K347" s="8"/>
      <c r="L347" s="9" t="str">
        <f aca="false">IF(K347="","",IF(K347=G347,"Y","N"))</f>
        <v/>
      </c>
    </row>
    <row r="348" customFormat="false" ht="15" hidden="false" customHeight="false" outlineLevel="0" collapsed="false">
      <c r="I348" s="3" t="str">
        <f aca="false">IF(H348="","",IFERROR(INDEX(Codes!$B$2:$B$30,MATCH(H348,Codes!$A$2:$A$30,0)),""))</f>
        <v/>
      </c>
      <c r="K348" s="8"/>
      <c r="L348" s="9" t="str">
        <f aca="false">IF(K348="","",IF(K348=G348,"Y","N"))</f>
        <v/>
      </c>
    </row>
    <row r="349" customFormat="false" ht="15" hidden="false" customHeight="false" outlineLevel="0" collapsed="false">
      <c r="I349" s="3" t="str">
        <f aca="false">IF(H349="","",IFERROR(INDEX(Codes!$B$2:$B$30,MATCH(H349,Codes!$A$2:$A$30,0)),""))</f>
        <v/>
      </c>
      <c r="K349" s="8"/>
      <c r="L349" s="9" t="str">
        <f aca="false">IF(K349="","",IF(K349=G349,"Y","N"))</f>
        <v/>
      </c>
    </row>
    <row r="350" customFormat="false" ht="15" hidden="false" customHeight="false" outlineLevel="0" collapsed="false">
      <c r="I350" s="3" t="str">
        <f aca="false">IF(H350="","",IFERROR(INDEX(Codes!$B$2:$B$30,MATCH(H350,Codes!$A$2:$A$30,0)),""))</f>
        <v/>
      </c>
      <c r="K350" s="8"/>
      <c r="L350" s="9" t="str">
        <f aca="false">IF(K350="","",IF(K350=G350,"Y","N"))</f>
        <v/>
      </c>
    </row>
    <row r="351" customFormat="false" ht="15" hidden="false" customHeight="false" outlineLevel="0" collapsed="false">
      <c r="I351" s="3" t="str">
        <f aca="false">IF(H351="","",IFERROR(INDEX(Codes!$B$2:$B$30,MATCH(H351,Codes!$A$2:$A$30,0)),""))</f>
        <v/>
      </c>
      <c r="K351" s="8"/>
      <c r="L351" s="9" t="str">
        <f aca="false">IF(K351="","",IF(K351=G351,"Y","N"))</f>
        <v/>
      </c>
    </row>
    <row r="352" customFormat="false" ht="15" hidden="false" customHeight="false" outlineLevel="0" collapsed="false">
      <c r="I352" s="3" t="str">
        <f aca="false">IF(H352="","",IFERROR(INDEX(Codes!$B$2:$B$30,MATCH(H352,Codes!$A$2:$A$30,0)),""))</f>
        <v/>
      </c>
      <c r="K352" s="8"/>
      <c r="L352" s="9" t="str">
        <f aca="false">IF(K352="","",IF(K352=G352,"Y","N"))</f>
        <v/>
      </c>
    </row>
    <row r="353" customFormat="false" ht="15" hidden="false" customHeight="false" outlineLevel="0" collapsed="false">
      <c r="I353" s="3" t="str">
        <f aca="false">IF(H353="","",IFERROR(INDEX(Codes!$B$2:$B$30,MATCH(H353,Codes!$A$2:$A$30,0)),""))</f>
        <v/>
      </c>
      <c r="K353" s="8"/>
      <c r="L353" s="9" t="str">
        <f aca="false">IF(K353="","",IF(K353=G353,"Y","N"))</f>
        <v/>
      </c>
    </row>
    <row r="354" customFormat="false" ht="15" hidden="false" customHeight="false" outlineLevel="0" collapsed="false">
      <c r="I354" s="3" t="str">
        <f aca="false">IF(H354="","",IFERROR(INDEX(Codes!$B$2:$B$30,MATCH(H354,Codes!$A$2:$A$30,0)),""))</f>
        <v/>
      </c>
      <c r="K354" s="8"/>
      <c r="L354" s="9" t="str">
        <f aca="false">IF(K354="","",IF(K354=G354,"Y","N"))</f>
        <v/>
      </c>
    </row>
    <row r="355" customFormat="false" ht="15" hidden="false" customHeight="false" outlineLevel="0" collapsed="false">
      <c r="I355" s="3" t="str">
        <f aca="false">IF(H355="","",IFERROR(INDEX(Codes!$B$2:$B$30,MATCH(H355,Codes!$A$2:$A$30,0)),""))</f>
        <v/>
      </c>
      <c r="K355" s="8"/>
      <c r="L355" s="9" t="str">
        <f aca="false">IF(K355="","",IF(K355=G355,"Y","N"))</f>
        <v/>
      </c>
    </row>
    <row r="356" customFormat="false" ht="15" hidden="false" customHeight="false" outlineLevel="0" collapsed="false">
      <c r="I356" s="3" t="str">
        <f aca="false">IF(H356="","",IFERROR(INDEX(Codes!$B$2:$B$30,MATCH(H356,Codes!$A$2:$A$30,0)),""))</f>
        <v/>
      </c>
      <c r="K356" s="8"/>
      <c r="L356" s="9" t="str">
        <f aca="false">IF(K356="","",IF(K356=G356,"Y","N"))</f>
        <v/>
      </c>
    </row>
    <row r="357" customFormat="false" ht="15" hidden="false" customHeight="false" outlineLevel="0" collapsed="false">
      <c r="I357" s="3" t="str">
        <f aca="false">IF(H357="","",IFERROR(INDEX(Codes!$B$2:$B$30,MATCH(H357,Codes!$A$2:$A$30,0)),""))</f>
        <v/>
      </c>
      <c r="K357" s="8"/>
      <c r="L357" s="9" t="str">
        <f aca="false">IF(K357="","",IF(K357=G357,"Y","N"))</f>
        <v/>
      </c>
    </row>
    <row r="358" customFormat="false" ht="15" hidden="false" customHeight="false" outlineLevel="0" collapsed="false">
      <c r="I358" s="3" t="str">
        <f aca="false">IF(H358="","",IFERROR(INDEX(Codes!$B$2:$B$30,MATCH(H358,Codes!$A$2:$A$30,0)),""))</f>
        <v/>
      </c>
      <c r="K358" s="8"/>
      <c r="L358" s="9" t="str">
        <f aca="false">IF(K358="","",IF(K358=G358,"Y","N"))</f>
        <v/>
      </c>
    </row>
    <row r="359" customFormat="false" ht="15" hidden="false" customHeight="false" outlineLevel="0" collapsed="false">
      <c r="I359" s="3" t="str">
        <f aca="false">IF(H359="","",IFERROR(INDEX(Codes!$B$2:$B$30,MATCH(H359,Codes!$A$2:$A$30,0)),""))</f>
        <v/>
      </c>
      <c r="K359" s="8"/>
      <c r="L359" s="9" t="str">
        <f aca="false">IF(K359="","",IF(K359=G359,"Y","N"))</f>
        <v/>
      </c>
    </row>
    <row r="360" customFormat="false" ht="15" hidden="false" customHeight="false" outlineLevel="0" collapsed="false">
      <c r="I360" s="3" t="str">
        <f aca="false">IF(H360="","",IFERROR(INDEX(Codes!$B$2:$B$30,MATCH(H360,Codes!$A$2:$A$30,0)),""))</f>
        <v/>
      </c>
      <c r="K360" s="8"/>
      <c r="L360" s="9" t="str">
        <f aca="false">IF(K360="","",IF(K360=G360,"Y","N"))</f>
        <v/>
      </c>
    </row>
    <row r="361" customFormat="false" ht="15" hidden="false" customHeight="false" outlineLevel="0" collapsed="false">
      <c r="I361" s="3" t="str">
        <f aca="false">IF(H361="","",IFERROR(INDEX(Codes!$B$2:$B$30,MATCH(H361,Codes!$A$2:$A$30,0)),""))</f>
        <v/>
      </c>
      <c r="K361" s="8"/>
      <c r="L361" s="9" t="str">
        <f aca="false">IF(K361="","",IF(K361=G361,"Y","N"))</f>
        <v/>
      </c>
    </row>
    <row r="362" customFormat="false" ht="15" hidden="false" customHeight="false" outlineLevel="0" collapsed="false">
      <c r="I362" s="3" t="str">
        <f aca="false">IF(H362="","",IFERROR(INDEX(Codes!$B$2:$B$30,MATCH(H362,Codes!$A$2:$A$30,0)),""))</f>
        <v/>
      </c>
      <c r="K362" s="8"/>
      <c r="L362" s="9" t="str">
        <f aca="false">IF(K362="","",IF(K362=G362,"Y","N"))</f>
        <v/>
      </c>
    </row>
    <row r="363" customFormat="false" ht="15" hidden="false" customHeight="false" outlineLevel="0" collapsed="false">
      <c r="I363" s="3" t="str">
        <f aca="false">IF(H363="","",IFERROR(INDEX(Codes!$B$2:$B$30,MATCH(H363,Codes!$A$2:$A$30,0)),""))</f>
        <v/>
      </c>
      <c r="K363" s="8"/>
      <c r="L363" s="9" t="str">
        <f aca="false">IF(K363="","",IF(K363=G363,"Y","N"))</f>
        <v/>
      </c>
    </row>
    <row r="364" customFormat="false" ht="15" hidden="false" customHeight="false" outlineLevel="0" collapsed="false">
      <c r="I364" s="3" t="str">
        <f aca="false">IF(H364="","",IFERROR(INDEX(Codes!$B$2:$B$30,MATCH(H364,Codes!$A$2:$A$30,0)),""))</f>
        <v/>
      </c>
      <c r="K364" s="8"/>
      <c r="L364" s="9" t="str">
        <f aca="false">IF(K364="","",IF(K364=G364,"Y","N"))</f>
        <v/>
      </c>
    </row>
    <row r="365" customFormat="false" ht="15" hidden="false" customHeight="false" outlineLevel="0" collapsed="false">
      <c r="I365" s="3" t="str">
        <f aca="false">IF(H365="","",IFERROR(INDEX(Codes!$B$2:$B$30,MATCH(H365,Codes!$A$2:$A$30,0)),""))</f>
        <v/>
      </c>
      <c r="K365" s="8"/>
      <c r="L365" s="9" t="str">
        <f aca="false">IF(K365="","",IF(K365=G365,"Y","N"))</f>
        <v/>
      </c>
    </row>
    <row r="366" customFormat="false" ht="15" hidden="false" customHeight="false" outlineLevel="0" collapsed="false">
      <c r="I366" s="3" t="str">
        <f aca="false">IF(H366="","",IFERROR(INDEX(Codes!$B$2:$B$30,MATCH(H366,Codes!$A$2:$A$30,0)),""))</f>
        <v/>
      </c>
      <c r="K366" s="8"/>
      <c r="L366" s="9" t="str">
        <f aca="false">IF(K366="","",IF(K366=G366,"Y","N"))</f>
        <v/>
      </c>
    </row>
    <row r="367" customFormat="false" ht="15" hidden="false" customHeight="false" outlineLevel="0" collapsed="false">
      <c r="I367" s="3" t="str">
        <f aca="false">IF(H367="","",IFERROR(INDEX(Codes!$B$2:$B$30,MATCH(H367,Codes!$A$2:$A$30,0)),""))</f>
        <v/>
      </c>
      <c r="K367" s="8"/>
      <c r="L367" s="9" t="str">
        <f aca="false">IF(K367="","",IF(K367=G367,"Y","N"))</f>
        <v/>
      </c>
    </row>
    <row r="368" customFormat="false" ht="15" hidden="false" customHeight="false" outlineLevel="0" collapsed="false">
      <c r="I368" s="3" t="str">
        <f aca="false">IF(H368="","",IFERROR(INDEX(Codes!$B$2:$B$30,MATCH(H368,Codes!$A$2:$A$30,0)),""))</f>
        <v/>
      </c>
      <c r="K368" s="8"/>
      <c r="L368" s="9" t="str">
        <f aca="false">IF(K368="","",IF(K368=G368,"Y","N"))</f>
        <v/>
      </c>
    </row>
    <row r="369" customFormat="false" ht="15" hidden="false" customHeight="false" outlineLevel="0" collapsed="false">
      <c r="I369" s="3" t="str">
        <f aca="false">IF(H369="","",IFERROR(INDEX(Codes!$B$2:$B$30,MATCH(H369,Codes!$A$2:$A$30,0)),""))</f>
        <v/>
      </c>
      <c r="K369" s="8"/>
      <c r="L369" s="9" t="str">
        <f aca="false">IF(K369="","",IF(K369=G369,"Y","N"))</f>
        <v/>
      </c>
    </row>
    <row r="370" customFormat="false" ht="15" hidden="false" customHeight="false" outlineLevel="0" collapsed="false">
      <c r="I370" s="3" t="str">
        <f aca="false">IF(H370="","",IFERROR(INDEX(Codes!$B$2:$B$30,MATCH(H370,Codes!$A$2:$A$30,0)),""))</f>
        <v/>
      </c>
      <c r="K370" s="8"/>
      <c r="L370" s="9" t="str">
        <f aca="false">IF(K370="","",IF(K370=G370,"Y","N"))</f>
        <v/>
      </c>
    </row>
    <row r="371" customFormat="false" ht="15" hidden="false" customHeight="false" outlineLevel="0" collapsed="false">
      <c r="I371" s="3" t="str">
        <f aca="false">IF(H371="","",IFERROR(INDEX(Codes!$B$2:$B$30,MATCH(H371,Codes!$A$2:$A$30,0)),""))</f>
        <v/>
      </c>
      <c r="K371" s="8"/>
      <c r="L371" s="9" t="str">
        <f aca="false">IF(K371="","",IF(K371=G371,"Y","N"))</f>
        <v/>
      </c>
    </row>
    <row r="372" customFormat="false" ht="15" hidden="false" customHeight="false" outlineLevel="0" collapsed="false">
      <c r="I372" s="3" t="str">
        <f aca="false">IF(H372="","",IFERROR(INDEX(Codes!$B$2:$B$30,MATCH(H372,Codes!$A$2:$A$30,0)),""))</f>
        <v/>
      </c>
      <c r="K372" s="8"/>
      <c r="L372" s="9" t="str">
        <f aca="false">IF(K372="","",IF(K372=G372,"Y","N"))</f>
        <v/>
      </c>
    </row>
    <row r="373" customFormat="false" ht="15" hidden="false" customHeight="false" outlineLevel="0" collapsed="false">
      <c r="I373" s="3" t="str">
        <f aca="false">IF(H373="","",IFERROR(INDEX(Codes!$B$2:$B$30,MATCH(H373,Codes!$A$2:$A$30,0)),""))</f>
        <v/>
      </c>
      <c r="K373" s="8"/>
      <c r="L373" s="9" t="str">
        <f aca="false">IF(K373="","",IF(K373=G373,"Y","N"))</f>
        <v/>
      </c>
    </row>
    <row r="374" customFormat="false" ht="15" hidden="false" customHeight="false" outlineLevel="0" collapsed="false">
      <c r="I374" s="3" t="str">
        <f aca="false">IF(H374="","",IFERROR(INDEX(Codes!$B$2:$B$30,MATCH(H374,Codes!$A$2:$A$30,0)),""))</f>
        <v/>
      </c>
      <c r="K374" s="8"/>
      <c r="L374" s="9" t="str">
        <f aca="false">IF(K374="","",IF(K374=G374,"Y","N"))</f>
        <v/>
      </c>
    </row>
    <row r="375" customFormat="false" ht="15" hidden="false" customHeight="false" outlineLevel="0" collapsed="false">
      <c r="I375" s="3" t="str">
        <f aca="false">IF(H375="","",IFERROR(INDEX(Codes!$B$2:$B$30,MATCH(H375,Codes!$A$2:$A$30,0)),""))</f>
        <v/>
      </c>
      <c r="K375" s="8"/>
      <c r="L375" s="9" t="str">
        <f aca="false">IF(K375="","",IF(K375=G375,"Y","N"))</f>
        <v/>
      </c>
    </row>
    <row r="376" customFormat="false" ht="15" hidden="false" customHeight="false" outlineLevel="0" collapsed="false">
      <c r="I376" s="3" t="str">
        <f aca="false">IF(H376="","",IFERROR(INDEX(Codes!$B$2:$B$30,MATCH(H376,Codes!$A$2:$A$30,0)),""))</f>
        <v/>
      </c>
      <c r="K376" s="8"/>
      <c r="L376" s="9" t="str">
        <f aca="false">IF(K376="","",IF(K376=G376,"Y","N"))</f>
        <v/>
      </c>
    </row>
    <row r="377" customFormat="false" ht="15" hidden="false" customHeight="false" outlineLevel="0" collapsed="false">
      <c r="I377" s="3" t="str">
        <f aca="false">IF(H377="","",IFERROR(INDEX(Codes!$B$2:$B$30,MATCH(H377,Codes!$A$2:$A$30,0)),""))</f>
        <v/>
      </c>
      <c r="K377" s="8"/>
      <c r="L377" s="9" t="str">
        <f aca="false">IF(K377="","",IF(K377=G377,"Y","N"))</f>
        <v/>
      </c>
    </row>
    <row r="378" customFormat="false" ht="15" hidden="false" customHeight="false" outlineLevel="0" collapsed="false">
      <c r="I378" s="3" t="str">
        <f aca="false">IF(H378="","",IFERROR(INDEX(Codes!$B$2:$B$30,MATCH(H378,Codes!$A$2:$A$30,0)),""))</f>
        <v/>
      </c>
      <c r="K378" s="8"/>
      <c r="L378" s="9" t="str">
        <f aca="false">IF(K378="","",IF(K378=G378,"Y","N"))</f>
        <v/>
      </c>
    </row>
    <row r="379" customFormat="false" ht="15" hidden="false" customHeight="false" outlineLevel="0" collapsed="false">
      <c r="I379" s="3" t="str">
        <f aca="false">IF(H379="","",IFERROR(INDEX(Codes!$B$2:$B$30,MATCH(H379,Codes!$A$2:$A$30,0)),""))</f>
        <v/>
      </c>
      <c r="K379" s="8"/>
      <c r="L379" s="9" t="str">
        <f aca="false">IF(K379="","",IF(K379=G379,"Y","N"))</f>
        <v/>
      </c>
    </row>
    <row r="380" customFormat="false" ht="15" hidden="false" customHeight="false" outlineLevel="0" collapsed="false">
      <c r="I380" s="3" t="str">
        <f aca="false">IF(H380="","",IFERROR(INDEX(Codes!$B$2:$B$30,MATCH(H380,Codes!$A$2:$A$30,0)),""))</f>
        <v/>
      </c>
      <c r="K380" s="8"/>
      <c r="L380" s="9" t="str">
        <f aca="false">IF(K380="","",IF(K380=G380,"Y","N"))</f>
        <v/>
      </c>
    </row>
    <row r="381" customFormat="false" ht="15" hidden="false" customHeight="false" outlineLevel="0" collapsed="false">
      <c r="I381" s="3" t="str">
        <f aca="false">IF(H381="","",IFERROR(INDEX(Codes!$B$2:$B$30,MATCH(H381,Codes!$A$2:$A$30,0)),""))</f>
        <v/>
      </c>
      <c r="K381" s="8"/>
      <c r="L381" s="9" t="str">
        <f aca="false">IF(K381="","",IF(K381=G381,"Y","N"))</f>
        <v/>
      </c>
    </row>
    <row r="382" customFormat="false" ht="15" hidden="false" customHeight="false" outlineLevel="0" collapsed="false">
      <c r="I382" s="3" t="str">
        <f aca="false">IF(H382="","",IFERROR(INDEX(Codes!$B$2:$B$30,MATCH(H382,Codes!$A$2:$A$30,0)),""))</f>
        <v/>
      </c>
      <c r="K382" s="8"/>
      <c r="L382" s="9" t="str">
        <f aca="false">IF(K382="","",IF(K382=G382,"Y","N"))</f>
        <v/>
      </c>
    </row>
    <row r="383" customFormat="false" ht="15" hidden="false" customHeight="false" outlineLevel="0" collapsed="false">
      <c r="I383" s="3" t="str">
        <f aca="false">IF(H383="","",IFERROR(INDEX(Codes!$B$2:$B$30,MATCH(H383,Codes!$A$2:$A$30,0)),""))</f>
        <v/>
      </c>
      <c r="K383" s="8"/>
      <c r="L383" s="9" t="str">
        <f aca="false">IF(K383="","",IF(K383=G383,"Y","N"))</f>
        <v/>
      </c>
    </row>
    <row r="384" customFormat="false" ht="15" hidden="false" customHeight="false" outlineLevel="0" collapsed="false">
      <c r="I384" s="3" t="str">
        <f aca="false">IF(H384="","",IFERROR(INDEX(Codes!$B$2:$B$30,MATCH(H384,Codes!$A$2:$A$30,0)),""))</f>
        <v/>
      </c>
      <c r="K384" s="8"/>
      <c r="L384" s="9" t="str">
        <f aca="false">IF(K384="","",IF(K384=G384,"Y","N"))</f>
        <v/>
      </c>
    </row>
    <row r="385" customFormat="false" ht="15" hidden="false" customHeight="false" outlineLevel="0" collapsed="false">
      <c r="I385" s="3" t="str">
        <f aca="false">IF(H385="","",IFERROR(INDEX(Codes!$B$2:$B$30,MATCH(H385,Codes!$A$2:$A$30,0)),""))</f>
        <v/>
      </c>
      <c r="K385" s="8"/>
      <c r="L385" s="9" t="str">
        <f aca="false">IF(K385="","",IF(K385=G385,"Y","N"))</f>
        <v/>
      </c>
    </row>
    <row r="386" customFormat="false" ht="15" hidden="false" customHeight="false" outlineLevel="0" collapsed="false">
      <c r="I386" s="3" t="str">
        <f aca="false">IF(H386="","",IFERROR(INDEX(Codes!$B$2:$B$30,MATCH(H386,Codes!$A$2:$A$30,0)),""))</f>
        <v/>
      </c>
      <c r="K386" s="8"/>
      <c r="L386" s="9" t="str">
        <f aca="false">IF(K386="","",IF(K386=G386,"Y","N"))</f>
        <v/>
      </c>
    </row>
    <row r="387" customFormat="false" ht="15" hidden="false" customHeight="false" outlineLevel="0" collapsed="false">
      <c r="I387" s="3" t="str">
        <f aca="false">IF(H387="","",IFERROR(INDEX(Codes!$B$2:$B$30,MATCH(H387,Codes!$A$2:$A$30,0)),""))</f>
        <v/>
      </c>
      <c r="K387" s="8"/>
      <c r="L387" s="9" t="str">
        <f aca="false">IF(K387="","",IF(K387=G387,"Y","N"))</f>
        <v/>
      </c>
    </row>
    <row r="388" customFormat="false" ht="15" hidden="false" customHeight="false" outlineLevel="0" collapsed="false">
      <c r="I388" s="3" t="str">
        <f aca="false">IF(H388="","",IFERROR(INDEX(Codes!$B$2:$B$30,MATCH(H388,Codes!$A$2:$A$30,0)),""))</f>
        <v/>
      </c>
      <c r="K388" s="8"/>
      <c r="L388" s="9" t="str">
        <f aca="false">IF(K388="","",IF(K388=G388,"Y","N"))</f>
        <v/>
      </c>
    </row>
    <row r="389" customFormat="false" ht="15" hidden="false" customHeight="false" outlineLevel="0" collapsed="false">
      <c r="I389" s="3" t="str">
        <f aca="false">IF(H389="","",IFERROR(INDEX(Codes!$B$2:$B$30,MATCH(H389,Codes!$A$2:$A$30,0)),""))</f>
        <v/>
      </c>
      <c r="K389" s="8"/>
      <c r="L389" s="9" t="str">
        <f aca="false">IF(K389="","",IF(K389=G389,"Y","N"))</f>
        <v/>
      </c>
    </row>
    <row r="390" customFormat="false" ht="15" hidden="false" customHeight="false" outlineLevel="0" collapsed="false">
      <c r="I390" s="3" t="str">
        <f aca="false">IF(H390="","",IFERROR(INDEX(Codes!$B$2:$B$30,MATCH(H390,Codes!$A$2:$A$30,0)),""))</f>
        <v/>
      </c>
      <c r="K390" s="8"/>
      <c r="L390" s="9" t="str">
        <f aca="false">IF(K390="","",IF(K390=G390,"Y","N"))</f>
        <v/>
      </c>
    </row>
    <row r="391" customFormat="false" ht="15" hidden="false" customHeight="false" outlineLevel="0" collapsed="false">
      <c r="I391" s="3" t="str">
        <f aca="false">IF(H391="","",IFERROR(INDEX(Codes!$B$2:$B$30,MATCH(H391,Codes!$A$2:$A$30,0)),""))</f>
        <v/>
      </c>
      <c r="K391" s="8"/>
      <c r="L391" s="9" t="str">
        <f aca="false">IF(K391="","",IF(K391=G391,"Y","N"))</f>
        <v/>
      </c>
    </row>
    <row r="392" customFormat="false" ht="15" hidden="false" customHeight="false" outlineLevel="0" collapsed="false">
      <c r="I392" s="3" t="str">
        <f aca="false">IF(H392="","",IFERROR(INDEX(Codes!$B$2:$B$30,MATCH(H392,Codes!$A$2:$A$30,0)),""))</f>
        <v/>
      </c>
      <c r="K392" s="8"/>
      <c r="L392" s="9" t="str">
        <f aca="false">IF(K392="","",IF(K392=G392,"Y","N"))</f>
        <v/>
      </c>
    </row>
    <row r="393" customFormat="false" ht="15" hidden="false" customHeight="false" outlineLevel="0" collapsed="false">
      <c r="I393" s="3" t="str">
        <f aca="false">IF(H393="","",IFERROR(INDEX(Codes!$B$2:$B$30,MATCH(H393,Codes!$A$2:$A$30,0)),""))</f>
        <v/>
      </c>
      <c r="K393" s="8"/>
      <c r="L393" s="9" t="str">
        <f aca="false">IF(K393="","",IF(K393=G393,"Y","N"))</f>
        <v/>
      </c>
    </row>
    <row r="394" customFormat="false" ht="15" hidden="false" customHeight="false" outlineLevel="0" collapsed="false">
      <c r="I394" s="3" t="str">
        <f aca="false">IF(H394="","",IFERROR(INDEX(Codes!$B$2:$B$30,MATCH(H394,Codes!$A$2:$A$30,0)),""))</f>
        <v/>
      </c>
      <c r="K394" s="8"/>
      <c r="L394" s="9" t="str">
        <f aca="false">IF(K394="","",IF(K394=G394,"Y","N"))</f>
        <v/>
      </c>
    </row>
    <row r="395" customFormat="false" ht="15" hidden="false" customHeight="false" outlineLevel="0" collapsed="false">
      <c r="I395" s="3" t="str">
        <f aca="false">IF(H395="","",IFERROR(INDEX(Codes!$B$2:$B$30,MATCH(H395,Codes!$A$2:$A$30,0)),""))</f>
        <v/>
      </c>
      <c r="K395" s="8"/>
      <c r="L395" s="9" t="str">
        <f aca="false">IF(K395="","",IF(K395=G395,"Y","N"))</f>
        <v/>
      </c>
    </row>
    <row r="396" customFormat="false" ht="15" hidden="false" customHeight="false" outlineLevel="0" collapsed="false">
      <c r="I396" s="3" t="str">
        <f aca="false">IF(H396="","",IFERROR(INDEX(Codes!$B$2:$B$30,MATCH(H396,Codes!$A$2:$A$30,0)),""))</f>
        <v/>
      </c>
      <c r="K396" s="8"/>
      <c r="L396" s="9" t="str">
        <f aca="false">IF(K396="","",IF(K396=G396,"Y","N"))</f>
        <v/>
      </c>
    </row>
    <row r="397" customFormat="false" ht="15" hidden="false" customHeight="false" outlineLevel="0" collapsed="false">
      <c r="I397" s="3" t="str">
        <f aca="false">IF(H397="","",IFERROR(INDEX(Codes!$B$2:$B$30,MATCH(H397,Codes!$A$2:$A$30,0)),""))</f>
        <v/>
      </c>
      <c r="K397" s="8"/>
      <c r="L397" s="9" t="str">
        <f aca="false">IF(K397="","",IF(K397=G397,"Y","N"))</f>
        <v/>
      </c>
    </row>
    <row r="398" customFormat="false" ht="15" hidden="false" customHeight="false" outlineLevel="0" collapsed="false">
      <c r="I398" s="3" t="str">
        <f aca="false">IF(H398="","",IFERROR(INDEX(Codes!$B$2:$B$30,MATCH(H398,Codes!$A$2:$A$30,0)),""))</f>
        <v/>
      </c>
      <c r="K398" s="8"/>
      <c r="L398" s="9" t="str">
        <f aca="false">IF(K398="","",IF(K398=G398,"Y","N"))</f>
        <v/>
      </c>
    </row>
    <row r="399" customFormat="false" ht="15" hidden="false" customHeight="false" outlineLevel="0" collapsed="false">
      <c r="I399" s="3" t="str">
        <f aca="false">IF(H399="","",IFERROR(INDEX(Codes!$B$2:$B$30,MATCH(H399,Codes!$A$2:$A$30,0)),""))</f>
        <v/>
      </c>
      <c r="K399" s="8"/>
      <c r="L399" s="9" t="str">
        <f aca="false">IF(K399="","",IF(K399=G399,"Y","N"))</f>
        <v/>
      </c>
    </row>
    <row r="400" customFormat="false" ht="15" hidden="false" customHeight="false" outlineLevel="0" collapsed="false">
      <c r="I400" s="3" t="str">
        <f aca="false">IF(H400="","",IFERROR(INDEX(Codes!$B$2:$B$30,MATCH(H400,Codes!$A$2:$A$30,0)),""))</f>
        <v/>
      </c>
      <c r="K400" s="8"/>
      <c r="L400" s="9" t="str">
        <f aca="false">IF(K400="","",IF(K400=G400,"Y","N"))</f>
        <v/>
      </c>
    </row>
    <row r="401" customFormat="false" ht="15" hidden="false" customHeight="false" outlineLevel="0" collapsed="false">
      <c r="I401" s="3" t="str">
        <f aca="false">IF(H401="","",IFERROR(INDEX(Codes!$B$2:$B$30,MATCH(H401,Codes!$A$2:$A$30,0)),""))</f>
        <v/>
      </c>
      <c r="K401" s="8"/>
      <c r="L401" s="9" t="str">
        <f aca="false">IF(K401="","",IF(K401=G401,"Y","N"))</f>
        <v/>
      </c>
    </row>
    <row r="402" customFormat="false" ht="15" hidden="false" customHeight="false" outlineLevel="0" collapsed="false">
      <c r="I402" s="3" t="str">
        <f aca="false">IF(H402="","",IFERROR(INDEX(Codes!$B$2:$B$30,MATCH(H402,Codes!$A$2:$A$30,0)),""))</f>
        <v/>
      </c>
      <c r="K402" s="8"/>
      <c r="L402" s="9" t="str">
        <f aca="false">IF(K402="","",IF(K402=G402,"Y","N"))</f>
        <v/>
      </c>
    </row>
    <row r="403" customFormat="false" ht="15" hidden="false" customHeight="false" outlineLevel="0" collapsed="false">
      <c r="I403" s="3" t="str">
        <f aca="false">IF(H403="","",IFERROR(INDEX(Codes!$B$2:$B$30,MATCH(H403,Codes!$A$2:$A$30,0)),""))</f>
        <v/>
      </c>
      <c r="K403" s="8"/>
      <c r="L403" s="9" t="str">
        <f aca="false">IF(K403="","",IF(K403=G403,"Y","N"))</f>
        <v/>
      </c>
    </row>
    <row r="404" customFormat="false" ht="15" hidden="false" customHeight="false" outlineLevel="0" collapsed="false">
      <c r="I404" s="3" t="str">
        <f aca="false">IF(H404="","",IFERROR(INDEX(Codes!$B$2:$B$30,MATCH(H404,Codes!$A$2:$A$30,0)),""))</f>
        <v/>
      </c>
      <c r="K404" s="8"/>
      <c r="L404" s="9" t="str">
        <f aca="false">IF(K404="","",IF(K404=G404,"Y","N"))</f>
        <v/>
      </c>
    </row>
    <row r="405" customFormat="false" ht="15" hidden="false" customHeight="false" outlineLevel="0" collapsed="false">
      <c r="I405" s="3" t="str">
        <f aca="false">IF(H405="","",IFERROR(INDEX(Codes!$B$2:$B$30,MATCH(H405,Codes!$A$2:$A$30,0)),""))</f>
        <v/>
      </c>
      <c r="K405" s="8"/>
      <c r="L405" s="9" t="str">
        <f aca="false">IF(K405="","",IF(K405=G405,"Y","N"))</f>
        <v/>
      </c>
    </row>
  </sheetData>
  <autoFilter ref="A5:L195"/>
  <dataValidations count="2">
    <dataValidation allowBlank="true" errorStyle="stop" operator="between" showDropDown="false" showErrorMessage="false" showInputMessage="false" sqref="G6:G405 K6:K405" type="list">
      <formula1>Lists!$H$2:$H$5</formula1>
      <formula2>0</formula2>
    </dataValidation>
    <dataValidation allowBlank="true" errorStyle="stop" operator="between" showDropDown="false" showErrorMessage="false" showInputMessage="false" sqref="H6:H405" type="list">
      <formula1>Codes!$A$2:$A$17</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2" min="2" style="0" width="12"/>
    <col collapsed="false" customWidth="true" hidden="false" outlineLevel="0" max="3" min="3" style="0" width="62"/>
  </cols>
  <sheetData>
    <row r="1" customFormat="false" ht="17.35" hidden="false" customHeight="false" outlineLevel="0" collapsed="false">
      <c r="A1" s="1" t="s">
        <v>565</v>
      </c>
    </row>
    <row r="3" customFormat="false" ht="31.5" hidden="false" customHeight="true" outlineLevel="0" collapsed="false">
      <c r="A3" s="5" t="s">
        <v>566</v>
      </c>
      <c r="B3" s="5" t="s">
        <v>567</v>
      </c>
      <c r="C3" s="5" t="s">
        <v>568</v>
      </c>
    </row>
    <row r="4" customFormat="false" ht="15" hidden="false" customHeight="false" outlineLevel="0" collapsed="false">
      <c r="A4" s="3" t="s">
        <v>569</v>
      </c>
      <c r="B4" s="3" t="n">
        <f aca="false">COUNTA(Screening_Log!$B$6:$B$405)</f>
        <v>190</v>
      </c>
      <c r="C4" s="3" t="s">
        <v>570</v>
      </c>
    </row>
    <row r="5" customFormat="false" ht="15" hidden="false" customHeight="false" outlineLevel="0" collapsed="false">
      <c r="A5" s="3" t="s">
        <v>571</v>
      </c>
      <c r="B5" s="3" t="n">
        <f aca="false">COUNTIF(Screening_Log!$H$6:$H$405,"E3")</f>
        <v>11</v>
      </c>
      <c r="C5" s="3" t="s">
        <v>572</v>
      </c>
    </row>
    <row r="6" customFormat="false" ht="15" hidden="false" customHeight="false" outlineLevel="0" collapsed="false">
      <c r="A6" s="3" t="s">
        <v>573</v>
      </c>
      <c r="B6" s="3" t="n">
        <f aca="false">B4-B5</f>
        <v>179</v>
      </c>
      <c r="C6" s="3"/>
    </row>
    <row r="7" customFormat="false" ht="15" hidden="false" customHeight="false" outlineLevel="0" collapsed="false">
      <c r="A7" s="3" t="s">
        <v>574</v>
      </c>
      <c r="B7" s="3" t="n">
        <f aca="false">COUNTIF(Screening_Log!$H$6:$H$405,"E1")</f>
        <v>34</v>
      </c>
      <c r="C7" s="3" t="s">
        <v>575</v>
      </c>
    </row>
    <row r="8" customFormat="false" ht="15" hidden="false" customHeight="false" outlineLevel="0" collapsed="false">
      <c r="A8" s="3" t="s">
        <v>576</v>
      </c>
      <c r="B8" s="3" t="n">
        <f aca="false">COUNTIF(Screening_Log!$H$6:$H$405,"E2")</f>
        <v>2</v>
      </c>
      <c r="C8" s="3"/>
    </row>
    <row r="9" customFormat="false" ht="15" hidden="false" customHeight="false" outlineLevel="0" collapsed="false">
      <c r="A9" s="3" t="s">
        <v>577</v>
      </c>
      <c r="B9" s="3" t="n">
        <f aca="false">COUNTIF(Screening_Log!$H$6:$H$405,"E4")</f>
        <v>5</v>
      </c>
      <c r="C9" s="3"/>
    </row>
    <row r="10" customFormat="false" ht="15" hidden="false" customHeight="false" outlineLevel="0" collapsed="false">
      <c r="A10" s="3" t="s">
        <v>578</v>
      </c>
      <c r="B10" s="3" t="n">
        <f aca="false">COUNTIF(Screening_Log!$H$6:$H$405,"E5")</f>
        <v>47</v>
      </c>
      <c r="C10" s="3" t="s">
        <v>579</v>
      </c>
    </row>
    <row r="11" customFormat="false" ht="15" hidden="false" customHeight="false" outlineLevel="0" collapsed="false">
      <c r="A11" s="3" t="s">
        <v>580</v>
      </c>
      <c r="B11" s="3" t="n">
        <f aca="false">COUNTIF(Screening_Log!$H$6:$H$405,"E6")</f>
        <v>1</v>
      </c>
      <c r="C11" s="3"/>
    </row>
    <row r="12" customFormat="false" ht="15" hidden="false" customHeight="false" outlineLevel="0" collapsed="false">
      <c r="A12" s="3" t="s">
        <v>581</v>
      </c>
      <c r="B12" s="3" t="n">
        <f aca="false">COUNTIF(Screening_Log!$H$6:$H$405,"E7")</f>
        <v>0</v>
      </c>
      <c r="C12" s="3"/>
    </row>
    <row r="13" customFormat="false" ht="15" hidden="false" customHeight="false" outlineLevel="0" collapsed="false">
      <c r="A13" s="3" t="s">
        <v>582</v>
      </c>
      <c r="B13" s="3" t="n">
        <f aca="false">COUNTIF(Screening_Log!$H$6:$H$405,"E8")</f>
        <v>24</v>
      </c>
      <c r="C13" s="3" t="s">
        <v>583</v>
      </c>
    </row>
    <row r="14" customFormat="false" ht="15" hidden="false" customHeight="false" outlineLevel="0" collapsed="false">
      <c r="A14" s="3" t="s">
        <v>584</v>
      </c>
      <c r="B14" s="3" t="n">
        <f aca="false">SUM(B7:B13)</f>
        <v>113</v>
      </c>
      <c r="C14" s="3"/>
    </row>
    <row r="15" customFormat="false" ht="15" hidden="false" customHeight="false" outlineLevel="0" collapsed="false">
      <c r="A15" s="3" t="s">
        <v>585</v>
      </c>
      <c r="B15" s="3" t="n">
        <f aca="false">COUNTIF(Screening_Log!$G$6:$G$405,"Context")</f>
        <v>20</v>
      </c>
      <c r="C15" s="3"/>
    </row>
    <row r="16" customFormat="false" ht="15" hidden="false" customHeight="false" outlineLevel="0" collapsed="false">
      <c r="A16" s="3" t="s">
        <v>586</v>
      </c>
      <c r="B16" s="3" t="n">
        <f aca="false">COUNTIF(Screening_Log!$H$6:$H$405,"C1")</f>
        <v>2</v>
      </c>
      <c r="C16" s="3"/>
    </row>
    <row r="17" customFormat="false" ht="15" hidden="false" customHeight="false" outlineLevel="0" collapsed="false">
      <c r="A17" s="3" t="s">
        <v>587</v>
      </c>
      <c r="B17" s="3" t="n">
        <f aca="false">COUNTIF(Screening_Log!$H$6:$H$405,"C2")</f>
        <v>6</v>
      </c>
      <c r="C17" s="3"/>
    </row>
    <row r="18" customFormat="false" ht="15" hidden="false" customHeight="false" outlineLevel="0" collapsed="false">
      <c r="A18" s="3" t="s">
        <v>588</v>
      </c>
      <c r="B18" s="3" t="n">
        <f aca="false">COUNTIF(Screening_Log!$H$6:$H$405,"C3")</f>
        <v>9</v>
      </c>
      <c r="C18" s="3"/>
    </row>
    <row r="19" customFormat="false" ht="15" hidden="false" customHeight="false" outlineLevel="0" collapsed="false">
      <c r="A19" s="3" t="s">
        <v>589</v>
      </c>
      <c r="B19" s="3" t="n">
        <f aca="false">COUNTIF(Screening_Log!$H$6:$H$405,"C4")</f>
        <v>3</v>
      </c>
      <c r="C19" s="3"/>
    </row>
    <row r="20" customFormat="false" ht="15" hidden="false" customHeight="false" outlineLevel="0" collapsed="false">
      <c r="A20" s="3" t="s">
        <v>590</v>
      </c>
      <c r="B20" s="3" t="n">
        <f aca="false">COUNTIF(Screening_Log!$G$6:$G$405,"Maybe")</f>
        <v>5</v>
      </c>
      <c r="C20" s="3" t="s">
        <v>591</v>
      </c>
    </row>
    <row r="21" customFormat="false" ht="15" hidden="false" customHeight="false" outlineLevel="0" collapsed="false">
      <c r="A21" s="3" t="s">
        <v>592</v>
      </c>
      <c r="B21" s="3" t="n">
        <f aca="false">COUNTIF(Screening_Log!$G$6:$G$405,"Include")</f>
        <v>41</v>
      </c>
      <c r="C21" s="3" t="s">
        <v>593</v>
      </c>
    </row>
    <row r="22" customFormat="false" ht="15" hidden="false" customHeight="false" outlineLevel="0" collapsed="false">
      <c r="A22" s="3" t="s">
        <v>594</v>
      </c>
      <c r="B22" s="3" t="n">
        <f aca="false">COUNTIF(Screening_Log!$H$6:$H$405,"I")</f>
        <v>28</v>
      </c>
      <c r="C22" s="3"/>
    </row>
    <row r="23" customFormat="false" ht="15" hidden="false" customHeight="false" outlineLevel="0" collapsed="false">
      <c r="A23" s="3" t="s">
        <v>595</v>
      </c>
      <c r="B23" s="3" t="n">
        <f aca="false">COUNTIF(Screening_Log!$H$6:$H$405,"R")</f>
        <v>10</v>
      </c>
      <c r="C23" s="3"/>
    </row>
    <row r="24" customFormat="false" ht="15" hidden="false" customHeight="false" outlineLevel="0" collapsed="false">
      <c r="A24" s="3" t="s">
        <v>596</v>
      </c>
      <c r="B24" s="3" t="n">
        <f aca="false">COUNTIF(Screening_Log!$H$6:$H$405,"G")</f>
        <v>3</v>
      </c>
      <c r="C24" s="3"/>
    </row>
    <row r="25" customFormat="false" ht="15" hidden="false" customHeight="false" outlineLevel="0" collapsed="false">
      <c r="A25" s="3" t="s">
        <v>597</v>
      </c>
      <c r="B25" s="3" t="n">
        <f aca="false">B6-B14-B15-B20-B21</f>
        <v>0</v>
      </c>
      <c r="C25" s="3" t="s">
        <v>598</v>
      </c>
    </row>
    <row r="26" customFormat="false" ht="15" hidden="false" customHeight="false" outlineLevel="0" collapsed="false">
      <c r="A26" s="3" t="s">
        <v>599</v>
      </c>
      <c r="B26" s="3" t="str">
        <f aca="false">IF(B25=0,"OK","CHECK")</f>
        <v>OK</v>
      </c>
      <c r="C26" s="3"/>
    </row>
    <row r="27" customFormat="false" ht="15" hidden="false" customHeight="false" outlineLevel="0" collapsed="false">
      <c r="A27" s="3" t="s">
        <v>600</v>
      </c>
      <c r="B27" s="3" t="n">
        <f aca="false">COUNTA(Screening_Log!$K$6:$K$405)</f>
        <v>0</v>
      </c>
      <c r="C27" s="3" t="s">
        <v>601</v>
      </c>
    </row>
    <row r="28" customFormat="false" ht="15" hidden="false" customHeight="false" outlineLevel="0" collapsed="false">
      <c r="A28" s="3" t="s">
        <v>602</v>
      </c>
      <c r="B28" s="10" t="str">
        <f aca="false">IF(B27=0,"",COUNTIF(Screening_Log!$L$6:$L$405,"Y")/B27)</f>
        <v/>
      </c>
      <c r="C28" s="3" t="s">
        <v>603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30"/>
    <col collapsed="false" customWidth="true" hidden="false" outlineLevel="0" max="3" min="3" style="0" width="16"/>
    <col collapsed="false" customWidth="true" hidden="false" outlineLevel="0" max="4" min="4" style="0" width="26"/>
    <col collapsed="false" customWidth="true" hidden="false" outlineLevel="0" max="5" min="5" style="0" width="48"/>
    <col collapsed="false" customWidth="true" hidden="false" outlineLevel="0" max="6" min="6" style="0" width="28"/>
    <col collapsed="false" customWidth="true" hidden="false" outlineLevel="0" max="7" min="7" style="0" width="20"/>
    <col collapsed="false" customWidth="true" hidden="false" outlineLevel="0" max="8" min="8" style="0" width="40"/>
    <col collapsed="false" customWidth="true" hidden="false" outlineLevel="0" max="9" min="9" style="0" width="28"/>
    <col collapsed="false" customWidth="true" hidden="false" outlineLevel="0" max="10" min="10" style="0" width="14"/>
    <col collapsed="false" customWidth="true" hidden="false" outlineLevel="0" max="11" min="11" style="0" width="60"/>
  </cols>
  <sheetData>
    <row r="1" customFormat="false" ht="17.35" hidden="false" customHeight="false" outlineLevel="0" collapsed="false">
      <c r="A1" s="1" t="s">
        <v>604</v>
      </c>
    </row>
    <row r="2" customFormat="false" ht="39.75" hidden="false" customHeight="true" outlineLevel="0" collapsed="false">
      <c r="A2" s="11" t="s">
        <v>605</v>
      </c>
      <c r="B2" s="11"/>
      <c r="C2" s="11"/>
      <c r="D2" s="11"/>
      <c r="E2" s="11"/>
      <c r="F2" s="11"/>
      <c r="G2" s="11"/>
      <c r="H2" s="11"/>
      <c r="I2" s="11"/>
      <c r="J2" s="11"/>
      <c r="K2" s="11"/>
    </row>
    <row r="4" customFormat="false" ht="31.5" hidden="false" customHeight="true" outlineLevel="0" collapsed="false">
      <c r="A4" s="5" t="s">
        <v>606</v>
      </c>
      <c r="B4" s="5" t="s">
        <v>607</v>
      </c>
      <c r="C4" s="5" t="s">
        <v>608</v>
      </c>
      <c r="D4" s="5" t="s">
        <v>609</v>
      </c>
      <c r="E4" s="5" t="s">
        <v>610</v>
      </c>
      <c r="F4" s="5" t="s">
        <v>611</v>
      </c>
      <c r="G4" s="5" t="s">
        <v>612</v>
      </c>
      <c r="H4" s="5" t="s">
        <v>613</v>
      </c>
      <c r="I4" s="5" t="s">
        <v>614</v>
      </c>
      <c r="J4" s="5" t="s">
        <v>615</v>
      </c>
      <c r="K4" s="5" t="s">
        <v>616</v>
      </c>
    </row>
    <row r="5" customFormat="false" ht="35.05" hidden="false" customHeight="false" outlineLevel="0" collapsed="false">
      <c r="A5" s="3" t="s">
        <v>617</v>
      </c>
      <c r="B5" s="3" t="s">
        <v>68</v>
      </c>
      <c r="C5" s="3" t="s">
        <v>618</v>
      </c>
      <c r="D5" s="12" t="s">
        <v>619</v>
      </c>
      <c r="E5" s="12" t="s">
        <v>620</v>
      </c>
      <c r="F5" s="12" t="s">
        <v>621</v>
      </c>
      <c r="G5" s="12" t="s">
        <v>622</v>
      </c>
      <c r="H5" s="12" t="s">
        <v>623</v>
      </c>
      <c r="I5" s="12" t="s">
        <v>624</v>
      </c>
      <c r="J5" s="12" t="s">
        <v>625</v>
      </c>
      <c r="K5" s="12" t="s">
        <v>626</v>
      </c>
    </row>
    <row r="6" customFormat="false" ht="23.85" hidden="false" customHeight="false" outlineLevel="0" collapsed="false">
      <c r="A6" s="3" t="s">
        <v>627</v>
      </c>
      <c r="B6" s="3" t="s">
        <v>68</v>
      </c>
      <c r="C6" s="3" t="s">
        <v>618</v>
      </c>
      <c r="D6" s="12" t="s">
        <v>628</v>
      </c>
      <c r="E6" s="12" t="s">
        <v>629</v>
      </c>
      <c r="F6" s="12" t="s">
        <v>630</v>
      </c>
      <c r="G6" s="12"/>
      <c r="H6" s="12"/>
      <c r="I6" s="12"/>
      <c r="J6" s="12" t="s">
        <v>625</v>
      </c>
      <c r="K6" s="12" t="s">
        <v>631</v>
      </c>
    </row>
    <row r="7" customFormat="false" ht="35.05" hidden="false" customHeight="false" outlineLevel="0" collapsed="false">
      <c r="A7" s="3" t="s">
        <v>632</v>
      </c>
      <c r="B7" s="3" t="s">
        <v>75</v>
      </c>
      <c r="C7" s="3" t="s">
        <v>633</v>
      </c>
      <c r="D7" s="12" t="s">
        <v>634</v>
      </c>
      <c r="E7" s="12" t="s">
        <v>635</v>
      </c>
      <c r="F7" s="12" t="s">
        <v>621</v>
      </c>
      <c r="G7" s="12" t="s">
        <v>622</v>
      </c>
      <c r="H7" s="12" t="s">
        <v>636</v>
      </c>
      <c r="I7" s="12" t="s">
        <v>637</v>
      </c>
      <c r="J7" s="12" t="s">
        <v>625</v>
      </c>
      <c r="K7" s="12" t="s">
        <v>638</v>
      </c>
    </row>
    <row r="8" customFormat="false" ht="23.85" hidden="false" customHeight="false" outlineLevel="0" collapsed="false">
      <c r="A8" s="3" t="s">
        <v>639</v>
      </c>
      <c r="B8" s="3" t="s">
        <v>75</v>
      </c>
      <c r="C8" s="3" t="s">
        <v>633</v>
      </c>
      <c r="D8" s="12" t="s">
        <v>640</v>
      </c>
      <c r="E8" s="12" t="s">
        <v>641</v>
      </c>
      <c r="F8" s="12" t="s">
        <v>630</v>
      </c>
      <c r="G8" s="12" t="s">
        <v>642</v>
      </c>
      <c r="H8" s="12"/>
      <c r="I8" s="12"/>
      <c r="J8" s="12" t="s">
        <v>625</v>
      </c>
      <c r="K8" s="12" t="s">
        <v>643</v>
      </c>
    </row>
    <row r="9" customFormat="false" ht="35.05" hidden="false" customHeight="false" outlineLevel="0" collapsed="false">
      <c r="A9" s="3" t="s">
        <v>644</v>
      </c>
      <c r="B9" s="3" t="s">
        <v>79</v>
      </c>
      <c r="C9" s="3" t="s">
        <v>645</v>
      </c>
      <c r="D9" s="12" t="s">
        <v>640</v>
      </c>
      <c r="E9" s="12" t="s">
        <v>646</v>
      </c>
      <c r="F9" s="12" t="s">
        <v>621</v>
      </c>
      <c r="G9" s="12" t="s">
        <v>622</v>
      </c>
      <c r="H9" s="12" t="s">
        <v>647</v>
      </c>
      <c r="I9" s="12" t="s">
        <v>648</v>
      </c>
      <c r="J9" s="12" t="s">
        <v>625</v>
      </c>
      <c r="K9" s="12" t="s">
        <v>649</v>
      </c>
    </row>
    <row r="10" customFormat="false" ht="23.85" hidden="false" customHeight="false" outlineLevel="0" collapsed="false">
      <c r="A10" s="3" t="s">
        <v>650</v>
      </c>
      <c r="B10" s="3" t="s">
        <v>82</v>
      </c>
      <c r="C10" s="3" t="s">
        <v>651</v>
      </c>
      <c r="D10" s="12" t="s">
        <v>193</v>
      </c>
      <c r="E10" s="12" t="s">
        <v>652</v>
      </c>
      <c r="F10" s="12" t="s">
        <v>653</v>
      </c>
      <c r="G10" s="12" t="s">
        <v>622</v>
      </c>
      <c r="H10" s="12"/>
      <c r="I10" s="12" t="s">
        <v>654</v>
      </c>
      <c r="J10" s="12" t="s">
        <v>625</v>
      </c>
      <c r="K10" s="12" t="s">
        <v>655</v>
      </c>
    </row>
    <row r="11" customFormat="false" ht="23.85" hidden="false" customHeight="false" outlineLevel="0" collapsed="false">
      <c r="A11" s="3" t="s">
        <v>656</v>
      </c>
      <c r="B11" s="3" t="s">
        <v>82</v>
      </c>
      <c r="C11" s="3" t="s">
        <v>651</v>
      </c>
      <c r="D11" s="12" t="s">
        <v>640</v>
      </c>
      <c r="E11" s="12" t="s">
        <v>657</v>
      </c>
      <c r="F11" s="12" t="s">
        <v>658</v>
      </c>
      <c r="G11" s="12" t="s">
        <v>658</v>
      </c>
      <c r="H11" s="12" t="s">
        <v>659</v>
      </c>
      <c r="I11" s="12"/>
      <c r="J11" s="12" t="s">
        <v>625</v>
      </c>
      <c r="K11" s="12" t="s">
        <v>660</v>
      </c>
    </row>
    <row r="12" customFormat="false" ht="35.05" hidden="false" customHeight="false" outlineLevel="0" collapsed="false">
      <c r="A12" s="3" t="s">
        <v>661</v>
      </c>
      <c r="B12" s="3" t="s">
        <v>82</v>
      </c>
      <c r="C12" s="3" t="s">
        <v>651</v>
      </c>
      <c r="D12" s="12" t="s">
        <v>634</v>
      </c>
      <c r="E12" s="12" t="s">
        <v>662</v>
      </c>
      <c r="F12" s="12" t="s">
        <v>630</v>
      </c>
      <c r="G12" s="12" t="s">
        <v>642</v>
      </c>
      <c r="H12" s="12"/>
      <c r="I12" s="12"/>
      <c r="J12" s="12" t="s">
        <v>625</v>
      </c>
      <c r="K12" s="12" t="s">
        <v>663</v>
      </c>
    </row>
    <row r="13" customFormat="false" ht="35.05" hidden="false" customHeight="false" outlineLevel="0" collapsed="false">
      <c r="A13" s="3" t="s">
        <v>664</v>
      </c>
      <c r="B13" s="3" t="s">
        <v>86</v>
      </c>
      <c r="C13" s="3" t="s">
        <v>665</v>
      </c>
      <c r="D13" s="12" t="s">
        <v>640</v>
      </c>
      <c r="E13" s="12" t="s">
        <v>666</v>
      </c>
      <c r="F13" s="12" t="s">
        <v>667</v>
      </c>
      <c r="G13" s="12" t="s">
        <v>668</v>
      </c>
      <c r="H13" s="12" t="s">
        <v>669</v>
      </c>
      <c r="I13" s="12"/>
      <c r="J13" s="12" t="s">
        <v>625</v>
      </c>
      <c r="K13" s="12" t="s">
        <v>670</v>
      </c>
    </row>
    <row r="14" customFormat="false" ht="23.85" hidden="false" customHeight="false" outlineLevel="0" collapsed="false">
      <c r="A14" s="3" t="s">
        <v>671</v>
      </c>
      <c r="B14" s="3" t="s">
        <v>86</v>
      </c>
      <c r="C14" s="3" t="s">
        <v>665</v>
      </c>
      <c r="D14" s="12" t="s">
        <v>634</v>
      </c>
      <c r="E14" s="12" t="s">
        <v>672</v>
      </c>
      <c r="F14" s="12" t="s">
        <v>673</v>
      </c>
      <c r="G14" s="12" t="s">
        <v>658</v>
      </c>
      <c r="H14" s="12"/>
      <c r="I14" s="12"/>
      <c r="J14" s="12" t="s">
        <v>625</v>
      </c>
      <c r="K14" s="12" t="s">
        <v>674</v>
      </c>
    </row>
    <row r="15" customFormat="false" ht="23.85" hidden="false" customHeight="false" outlineLevel="0" collapsed="false">
      <c r="A15" s="3" t="s">
        <v>675</v>
      </c>
      <c r="B15" s="3" t="s">
        <v>86</v>
      </c>
      <c r="C15" s="3" t="s">
        <v>665</v>
      </c>
      <c r="D15" s="12" t="s">
        <v>619</v>
      </c>
      <c r="E15" s="12" t="s">
        <v>676</v>
      </c>
      <c r="F15" s="12" t="s">
        <v>653</v>
      </c>
      <c r="G15" s="12" t="s">
        <v>668</v>
      </c>
      <c r="H15" s="12"/>
      <c r="I15" s="12"/>
      <c r="J15" s="12" t="s">
        <v>625</v>
      </c>
      <c r="K15" s="12" t="s">
        <v>677</v>
      </c>
    </row>
    <row r="16" customFormat="false" ht="15" hidden="false" customHeight="false" outlineLevel="0" collapsed="false">
      <c r="A16" s="3"/>
      <c r="B16" s="3"/>
      <c r="C16" s="3"/>
      <c r="D16" s="12"/>
      <c r="E16" s="12"/>
      <c r="F16" s="12"/>
      <c r="G16" s="12"/>
      <c r="H16" s="12"/>
      <c r="I16" s="12"/>
      <c r="J16" s="12"/>
      <c r="K16" s="12"/>
    </row>
    <row r="17" customFormat="false" ht="15" hidden="false" customHeight="false" outlineLevel="0" collapsed="false">
      <c r="A17" s="3"/>
      <c r="B17" s="3"/>
      <c r="C17" s="3"/>
      <c r="D17" s="12"/>
      <c r="E17" s="12"/>
      <c r="F17" s="12"/>
      <c r="G17" s="12"/>
      <c r="H17" s="12"/>
      <c r="I17" s="12"/>
      <c r="J17" s="12"/>
      <c r="K17" s="12"/>
    </row>
    <row r="18" customFormat="false" ht="15" hidden="false" customHeight="false" outlineLevel="0" collapsed="false">
      <c r="A18" s="3"/>
      <c r="B18" s="3"/>
      <c r="C18" s="3"/>
      <c r="D18" s="12"/>
      <c r="E18" s="12"/>
      <c r="F18" s="12"/>
      <c r="G18" s="12"/>
      <c r="H18" s="12"/>
      <c r="I18" s="12"/>
      <c r="J18" s="12"/>
      <c r="K18" s="12"/>
    </row>
    <row r="19" customFormat="false" ht="15" hidden="false" customHeight="false" outlineLevel="0" collapsed="false">
      <c r="A19" s="3"/>
      <c r="B19" s="3"/>
      <c r="C19" s="3"/>
      <c r="D19" s="12"/>
      <c r="E19" s="12"/>
      <c r="F19" s="12"/>
      <c r="G19" s="12"/>
      <c r="H19" s="12"/>
      <c r="I19" s="12"/>
      <c r="J19" s="12"/>
      <c r="K19" s="12"/>
    </row>
    <row r="20" customFormat="false" ht="15" hidden="false" customHeight="false" outlineLevel="0" collapsed="false">
      <c r="A20" s="3"/>
      <c r="B20" s="3"/>
      <c r="C20" s="3"/>
      <c r="D20" s="12"/>
      <c r="E20" s="12"/>
      <c r="F20" s="12"/>
      <c r="G20" s="12"/>
      <c r="H20" s="12"/>
      <c r="I20" s="12"/>
      <c r="J20" s="12"/>
      <c r="K20" s="12"/>
    </row>
    <row r="21" customFormat="false" ht="15" hidden="false" customHeight="false" outlineLevel="0" collapsed="false">
      <c r="A21" s="3"/>
      <c r="B21" s="3"/>
      <c r="C21" s="3"/>
      <c r="D21" s="12"/>
      <c r="E21" s="12"/>
      <c r="F21" s="12"/>
      <c r="G21" s="12"/>
      <c r="H21" s="12"/>
      <c r="I21" s="12"/>
      <c r="J21" s="12"/>
      <c r="K21" s="12"/>
    </row>
    <row r="22" customFormat="false" ht="15" hidden="false" customHeight="false" outlineLevel="0" collapsed="false">
      <c r="A22" s="3"/>
      <c r="B22" s="3"/>
      <c r="C22" s="3"/>
      <c r="D22" s="12"/>
      <c r="E22" s="12"/>
      <c r="F22" s="12"/>
      <c r="G22" s="12"/>
      <c r="H22" s="12"/>
      <c r="I22" s="12"/>
      <c r="J22" s="12"/>
      <c r="K22" s="12"/>
    </row>
    <row r="23" customFormat="false" ht="15" hidden="false" customHeight="false" outlineLevel="0" collapsed="false">
      <c r="A23" s="3"/>
      <c r="B23" s="3"/>
      <c r="C23" s="3"/>
      <c r="D23" s="12"/>
      <c r="E23" s="12"/>
      <c r="F23" s="12"/>
      <c r="G23" s="12"/>
      <c r="H23" s="12"/>
      <c r="I23" s="12"/>
      <c r="J23" s="12"/>
      <c r="K23" s="12"/>
    </row>
    <row r="24" customFormat="false" ht="15" hidden="false" customHeight="false" outlineLevel="0" collapsed="false">
      <c r="A24" s="3"/>
      <c r="B24" s="3"/>
      <c r="C24" s="3"/>
      <c r="D24" s="12"/>
      <c r="E24" s="12"/>
      <c r="F24" s="12"/>
      <c r="G24" s="12"/>
      <c r="H24" s="12"/>
      <c r="I24" s="12"/>
      <c r="J24" s="12"/>
      <c r="K24" s="12"/>
    </row>
    <row r="25" customFormat="false" ht="15" hidden="false" customHeight="false" outlineLevel="0" collapsed="false">
      <c r="A25" s="3"/>
      <c r="B25" s="3"/>
      <c r="C25" s="3"/>
      <c r="D25" s="12"/>
      <c r="E25" s="12"/>
      <c r="F25" s="12"/>
      <c r="G25" s="12"/>
      <c r="H25" s="12"/>
      <c r="I25" s="12"/>
      <c r="J25" s="12"/>
      <c r="K25" s="12"/>
    </row>
    <row r="26" customFormat="false" ht="15" hidden="false" customHeight="false" outlineLevel="0" collapsed="false">
      <c r="A26" s="3"/>
      <c r="B26" s="3"/>
      <c r="C26" s="3"/>
      <c r="D26" s="12"/>
      <c r="E26" s="12"/>
      <c r="F26" s="12"/>
      <c r="G26" s="12"/>
      <c r="H26" s="12"/>
      <c r="I26" s="12"/>
      <c r="J26" s="12"/>
      <c r="K26" s="12"/>
    </row>
    <row r="27" customFormat="false" ht="15" hidden="false" customHeight="false" outlineLevel="0" collapsed="false">
      <c r="A27" s="3"/>
      <c r="B27" s="3"/>
      <c r="C27" s="3"/>
      <c r="D27" s="12"/>
      <c r="E27" s="12"/>
      <c r="F27" s="12"/>
      <c r="G27" s="12"/>
      <c r="H27" s="12"/>
      <c r="I27" s="12"/>
      <c r="J27" s="12"/>
      <c r="K27" s="12"/>
    </row>
    <row r="28" customFormat="false" ht="15" hidden="false" customHeight="false" outlineLevel="0" collapsed="false">
      <c r="A28" s="3"/>
      <c r="B28" s="3"/>
      <c r="C28" s="3"/>
      <c r="D28" s="12"/>
      <c r="E28" s="12"/>
      <c r="F28" s="12"/>
      <c r="G28" s="12"/>
      <c r="H28" s="12"/>
      <c r="I28" s="12"/>
      <c r="J28" s="12"/>
      <c r="K28" s="12"/>
    </row>
    <row r="29" customFormat="false" ht="15" hidden="false" customHeight="false" outlineLevel="0" collapsed="false">
      <c r="A29" s="3"/>
      <c r="B29" s="3"/>
      <c r="C29" s="3"/>
      <c r="D29" s="12"/>
      <c r="E29" s="12"/>
      <c r="F29" s="12"/>
      <c r="G29" s="12"/>
      <c r="H29" s="12"/>
      <c r="I29" s="12"/>
      <c r="J29" s="12"/>
      <c r="K29" s="12"/>
    </row>
    <row r="30" customFormat="false" ht="15" hidden="false" customHeight="false" outlineLevel="0" collapsed="false">
      <c r="A30" s="3"/>
      <c r="B30" s="3"/>
      <c r="C30" s="3"/>
      <c r="D30" s="12"/>
      <c r="E30" s="12"/>
      <c r="F30" s="12"/>
      <c r="G30" s="12"/>
      <c r="H30" s="12"/>
      <c r="I30" s="12"/>
      <c r="J30" s="12"/>
      <c r="K30" s="12"/>
    </row>
    <row r="31" customFormat="false" ht="15" hidden="false" customHeight="false" outlineLevel="0" collapsed="false">
      <c r="A31" s="3"/>
      <c r="B31" s="3"/>
      <c r="C31" s="3"/>
      <c r="D31" s="12"/>
      <c r="E31" s="12"/>
      <c r="F31" s="12"/>
      <c r="G31" s="12"/>
      <c r="H31" s="12"/>
      <c r="I31" s="12"/>
      <c r="J31" s="12"/>
      <c r="K31" s="12"/>
    </row>
    <row r="32" customFormat="false" ht="15" hidden="false" customHeight="false" outlineLevel="0" collapsed="false">
      <c r="A32" s="3"/>
      <c r="B32" s="3"/>
      <c r="C32" s="3"/>
      <c r="D32" s="12"/>
      <c r="E32" s="12"/>
      <c r="F32" s="12"/>
      <c r="G32" s="12"/>
      <c r="H32" s="12"/>
      <c r="I32" s="12"/>
      <c r="J32" s="12"/>
      <c r="K32" s="12"/>
    </row>
    <row r="33" customFormat="false" ht="15" hidden="false" customHeight="false" outlineLevel="0" collapsed="false">
      <c r="A33" s="3"/>
      <c r="B33" s="3"/>
      <c r="C33" s="3"/>
      <c r="D33" s="12"/>
      <c r="E33" s="12"/>
      <c r="F33" s="12"/>
      <c r="G33" s="12"/>
      <c r="H33" s="12"/>
      <c r="I33" s="12"/>
      <c r="J33" s="12"/>
      <c r="K33" s="12"/>
    </row>
    <row r="34" customFormat="false" ht="15" hidden="false" customHeight="false" outlineLevel="0" collapsed="false">
      <c r="A34" s="3"/>
      <c r="B34" s="3"/>
      <c r="C34" s="3"/>
      <c r="D34" s="12"/>
      <c r="E34" s="12"/>
      <c r="F34" s="12"/>
      <c r="G34" s="12"/>
      <c r="H34" s="12"/>
      <c r="I34" s="12"/>
      <c r="J34" s="12"/>
      <c r="K34" s="12"/>
    </row>
    <row r="35" customFormat="false" ht="15" hidden="false" customHeight="false" outlineLevel="0" collapsed="false">
      <c r="A35" s="3"/>
      <c r="B35" s="3"/>
      <c r="C35" s="3"/>
      <c r="D35" s="12"/>
      <c r="E35" s="12"/>
      <c r="F35" s="12"/>
      <c r="G35" s="12"/>
      <c r="H35" s="12"/>
      <c r="I35" s="12"/>
      <c r="J35" s="12"/>
      <c r="K35" s="12"/>
    </row>
    <row r="36" customFormat="false" ht="15" hidden="false" customHeight="false" outlineLevel="0" collapsed="false">
      <c r="A36" s="3"/>
      <c r="B36" s="3"/>
      <c r="C36" s="3"/>
      <c r="D36" s="12"/>
      <c r="E36" s="12"/>
      <c r="F36" s="12"/>
      <c r="G36" s="12"/>
      <c r="H36" s="12"/>
      <c r="I36" s="12"/>
      <c r="J36" s="12"/>
      <c r="K36" s="12"/>
    </row>
    <row r="37" customFormat="false" ht="15" hidden="false" customHeight="false" outlineLevel="0" collapsed="false">
      <c r="A37" s="3"/>
      <c r="B37" s="3"/>
      <c r="C37" s="3"/>
      <c r="D37" s="12"/>
      <c r="E37" s="12"/>
      <c r="F37" s="12"/>
      <c r="G37" s="12"/>
      <c r="H37" s="12"/>
      <c r="I37" s="12"/>
      <c r="J37" s="12"/>
      <c r="K37" s="12"/>
    </row>
    <row r="38" customFormat="false" ht="15" hidden="false" customHeight="false" outlineLevel="0" collapsed="false">
      <c r="A38" s="3"/>
      <c r="B38" s="3"/>
      <c r="C38" s="3"/>
      <c r="D38" s="12"/>
      <c r="E38" s="12"/>
      <c r="F38" s="12"/>
      <c r="G38" s="12"/>
      <c r="H38" s="12"/>
      <c r="I38" s="12"/>
      <c r="J38" s="12"/>
      <c r="K38" s="12"/>
    </row>
    <row r="39" customFormat="false" ht="15" hidden="false" customHeight="false" outlineLevel="0" collapsed="false">
      <c r="A39" s="3"/>
      <c r="B39" s="3"/>
      <c r="C39" s="3"/>
      <c r="D39" s="12"/>
      <c r="E39" s="12"/>
      <c r="F39" s="12"/>
      <c r="G39" s="12"/>
      <c r="H39" s="12"/>
      <c r="I39" s="12"/>
      <c r="J39" s="12"/>
      <c r="K39" s="12"/>
    </row>
    <row r="40" customFormat="false" ht="15" hidden="false" customHeight="false" outlineLevel="0" collapsed="false">
      <c r="A40" s="3"/>
      <c r="B40" s="3"/>
      <c r="C40" s="3"/>
      <c r="D40" s="12"/>
      <c r="E40" s="12"/>
      <c r="F40" s="12"/>
      <c r="G40" s="12"/>
      <c r="H40" s="12"/>
      <c r="I40" s="12"/>
      <c r="J40" s="12"/>
      <c r="K40" s="12"/>
    </row>
    <row r="41" customFormat="false" ht="15" hidden="false" customHeight="false" outlineLevel="0" collapsed="false">
      <c r="A41" s="3"/>
      <c r="B41" s="3"/>
      <c r="C41" s="3"/>
      <c r="D41" s="12"/>
      <c r="E41" s="12"/>
      <c r="F41" s="12"/>
      <c r="G41" s="12"/>
      <c r="H41" s="12"/>
      <c r="I41" s="12"/>
      <c r="J41" s="12"/>
      <c r="K41" s="12"/>
    </row>
    <row r="42" customFormat="false" ht="15" hidden="false" customHeight="false" outlineLevel="0" collapsed="false">
      <c r="A42" s="3"/>
      <c r="B42" s="3"/>
      <c r="C42" s="3"/>
      <c r="D42" s="12"/>
      <c r="E42" s="12"/>
      <c r="F42" s="12"/>
      <c r="G42" s="12"/>
      <c r="H42" s="12"/>
      <c r="I42" s="12"/>
      <c r="J42" s="12"/>
      <c r="K42" s="12"/>
    </row>
    <row r="43" customFormat="false" ht="15" hidden="false" customHeight="false" outlineLevel="0" collapsed="false">
      <c r="A43" s="3"/>
      <c r="B43" s="3"/>
      <c r="C43" s="3"/>
      <c r="D43" s="12"/>
      <c r="E43" s="12"/>
      <c r="F43" s="12"/>
      <c r="G43" s="12"/>
      <c r="H43" s="12"/>
      <c r="I43" s="12"/>
      <c r="J43" s="12"/>
      <c r="K43" s="12"/>
    </row>
    <row r="44" customFormat="false" ht="15" hidden="false" customHeight="false" outlineLevel="0" collapsed="false">
      <c r="A44" s="3"/>
      <c r="B44" s="3"/>
      <c r="C44" s="3"/>
      <c r="D44" s="12"/>
      <c r="E44" s="12"/>
      <c r="F44" s="12"/>
      <c r="G44" s="12"/>
      <c r="H44" s="12"/>
      <c r="I44" s="12"/>
      <c r="J44" s="12"/>
      <c r="K44" s="12"/>
    </row>
    <row r="45" customFormat="false" ht="15" hidden="false" customHeight="false" outlineLevel="0" collapsed="false">
      <c r="A45" s="3"/>
      <c r="B45" s="3"/>
      <c r="C45" s="3"/>
      <c r="D45" s="12"/>
      <c r="E45" s="12"/>
      <c r="F45" s="12"/>
      <c r="G45" s="12"/>
      <c r="H45" s="12"/>
      <c r="I45" s="12"/>
      <c r="J45" s="12"/>
      <c r="K45" s="12"/>
    </row>
    <row r="46" customFormat="false" ht="15" hidden="false" customHeight="false" outlineLevel="0" collapsed="false">
      <c r="A46" s="3"/>
      <c r="B46" s="3"/>
      <c r="C46" s="3"/>
      <c r="D46" s="12"/>
      <c r="E46" s="12"/>
      <c r="F46" s="12"/>
      <c r="G46" s="12"/>
      <c r="H46" s="12"/>
      <c r="I46" s="12"/>
      <c r="J46" s="12"/>
      <c r="K46" s="12"/>
    </row>
    <row r="47" customFormat="false" ht="15" hidden="false" customHeight="false" outlineLevel="0" collapsed="false">
      <c r="A47" s="3"/>
      <c r="B47" s="3"/>
      <c r="C47" s="3"/>
      <c r="D47" s="12"/>
      <c r="E47" s="12"/>
      <c r="F47" s="12"/>
      <c r="G47" s="12"/>
      <c r="H47" s="12"/>
      <c r="I47" s="12"/>
      <c r="J47" s="12"/>
      <c r="K47" s="12"/>
    </row>
    <row r="48" customFormat="false" ht="15" hidden="false" customHeight="false" outlineLevel="0" collapsed="false">
      <c r="A48" s="3"/>
      <c r="B48" s="3"/>
      <c r="C48" s="3"/>
      <c r="D48" s="12"/>
      <c r="E48" s="12"/>
      <c r="F48" s="12"/>
      <c r="G48" s="12"/>
      <c r="H48" s="12"/>
      <c r="I48" s="12"/>
      <c r="J48" s="12"/>
      <c r="K48" s="12"/>
    </row>
    <row r="49" customFormat="false" ht="15" hidden="false" customHeight="false" outlineLevel="0" collapsed="false">
      <c r="A49" s="3"/>
      <c r="B49" s="3"/>
      <c r="C49" s="3"/>
      <c r="D49" s="12"/>
      <c r="E49" s="12"/>
      <c r="F49" s="12"/>
      <c r="G49" s="12"/>
      <c r="H49" s="12"/>
      <c r="I49" s="12"/>
      <c r="J49" s="12"/>
      <c r="K49" s="12"/>
    </row>
    <row r="50" customFormat="false" ht="15" hidden="false" customHeight="false" outlineLevel="0" collapsed="false">
      <c r="A50" s="3"/>
      <c r="B50" s="3"/>
      <c r="C50" s="3"/>
      <c r="D50" s="12"/>
      <c r="E50" s="12"/>
      <c r="F50" s="12"/>
      <c r="G50" s="12"/>
      <c r="H50" s="12"/>
      <c r="I50" s="12"/>
      <c r="J50" s="12"/>
      <c r="K50" s="12"/>
    </row>
    <row r="51" customFormat="false" ht="15" hidden="false" customHeight="false" outlineLevel="0" collapsed="false">
      <c r="A51" s="3"/>
      <c r="B51" s="3"/>
      <c r="C51" s="3"/>
      <c r="D51" s="12"/>
      <c r="E51" s="12"/>
      <c r="F51" s="12"/>
      <c r="G51" s="12"/>
      <c r="H51" s="12"/>
      <c r="I51" s="12"/>
      <c r="J51" s="12"/>
      <c r="K51" s="12"/>
    </row>
    <row r="52" customFormat="false" ht="15" hidden="false" customHeight="false" outlineLevel="0" collapsed="false">
      <c r="A52" s="3"/>
      <c r="B52" s="3"/>
      <c r="C52" s="3"/>
      <c r="D52" s="12"/>
      <c r="E52" s="12"/>
      <c r="F52" s="12"/>
      <c r="G52" s="12"/>
      <c r="H52" s="12"/>
      <c r="I52" s="12"/>
      <c r="J52" s="12"/>
      <c r="K52" s="12"/>
    </row>
    <row r="53" customFormat="false" ht="15" hidden="false" customHeight="false" outlineLevel="0" collapsed="false">
      <c r="A53" s="3"/>
      <c r="B53" s="3"/>
      <c r="C53" s="3"/>
      <c r="D53" s="12"/>
      <c r="E53" s="12"/>
      <c r="F53" s="12"/>
      <c r="G53" s="12"/>
      <c r="H53" s="12"/>
      <c r="I53" s="12"/>
      <c r="J53" s="12"/>
      <c r="K53" s="12"/>
    </row>
    <row r="54" customFormat="false" ht="15" hidden="false" customHeight="false" outlineLevel="0" collapsed="false">
      <c r="A54" s="3"/>
      <c r="B54" s="3"/>
      <c r="C54" s="3"/>
      <c r="D54" s="12"/>
      <c r="E54" s="12"/>
      <c r="F54" s="12"/>
      <c r="G54" s="12"/>
      <c r="H54" s="12"/>
      <c r="I54" s="12"/>
      <c r="J54" s="12"/>
      <c r="K54" s="12"/>
    </row>
    <row r="55" customFormat="false" ht="15" hidden="false" customHeight="false" outlineLevel="0" collapsed="false">
      <c r="A55" s="3"/>
      <c r="B55" s="3"/>
      <c r="C55" s="3"/>
      <c r="D55" s="12"/>
      <c r="E55" s="12"/>
      <c r="F55" s="12"/>
      <c r="G55" s="12"/>
      <c r="H55" s="12"/>
      <c r="I55" s="12"/>
      <c r="J55" s="12"/>
      <c r="K55" s="12"/>
    </row>
    <row r="56" customFormat="false" ht="15" hidden="false" customHeight="false" outlineLevel="0" collapsed="false">
      <c r="A56" s="3"/>
      <c r="B56" s="3"/>
      <c r="C56" s="3"/>
      <c r="D56" s="12"/>
      <c r="E56" s="12"/>
      <c r="F56" s="12"/>
      <c r="G56" s="12"/>
      <c r="H56" s="12"/>
      <c r="I56" s="12"/>
      <c r="J56" s="12"/>
      <c r="K56" s="12"/>
    </row>
    <row r="57" customFormat="false" ht="15" hidden="false" customHeight="false" outlineLevel="0" collapsed="false">
      <c r="A57" s="3"/>
      <c r="B57" s="3"/>
      <c r="C57" s="3"/>
      <c r="D57" s="12"/>
      <c r="E57" s="12"/>
      <c r="F57" s="12"/>
      <c r="G57" s="12"/>
      <c r="H57" s="12"/>
      <c r="I57" s="12"/>
      <c r="J57" s="12"/>
      <c r="K57" s="12"/>
    </row>
    <row r="58" customFormat="false" ht="15" hidden="false" customHeight="false" outlineLevel="0" collapsed="false">
      <c r="A58" s="3"/>
      <c r="B58" s="3"/>
      <c r="C58" s="3"/>
      <c r="D58" s="12"/>
      <c r="E58" s="12"/>
      <c r="F58" s="12"/>
      <c r="G58" s="12"/>
      <c r="H58" s="12"/>
      <c r="I58" s="12"/>
      <c r="J58" s="12"/>
      <c r="K58" s="12"/>
    </row>
    <row r="59" customFormat="false" ht="15" hidden="false" customHeight="false" outlineLevel="0" collapsed="false">
      <c r="A59" s="3"/>
      <c r="B59" s="3"/>
      <c r="C59" s="3"/>
      <c r="D59" s="12"/>
      <c r="E59" s="12"/>
      <c r="F59" s="12"/>
      <c r="G59" s="12"/>
      <c r="H59" s="12"/>
      <c r="I59" s="12"/>
      <c r="J59" s="12"/>
      <c r="K59" s="12"/>
    </row>
    <row r="60" customFormat="false" ht="15" hidden="false" customHeight="false" outlineLevel="0" collapsed="false">
      <c r="A60" s="3"/>
      <c r="B60" s="3"/>
      <c r="C60" s="3"/>
      <c r="D60" s="12"/>
      <c r="E60" s="12"/>
      <c r="F60" s="12"/>
      <c r="G60" s="12"/>
      <c r="H60" s="12"/>
      <c r="I60" s="12"/>
      <c r="J60" s="12"/>
      <c r="K60" s="12"/>
    </row>
    <row r="61" customFormat="false" ht="15" hidden="false" customHeight="false" outlineLevel="0" collapsed="false">
      <c r="A61" s="3"/>
      <c r="B61" s="3"/>
      <c r="C61" s="3"/>
      <c r="D61" s="12"/>
      <c r="E61" s="12"/>
      <c r="F61" s="12"/>
      <c r="G61" s="12"/>
      <c r="H61" s="12"/>
      <c r="I61" s="12"/>
      <c r="J61" s="12"/>
      <c r="K61" s="12"/>
    </row>
    <row r="62" customFormat="false" ht="15" hidden="false" customHeight="false" outlineLevel="0" collapsed="false">
      <c r="A62" s="3"/>
      <c r="B62" s="3"/>
      <c r="C62" s="3"/>
      <c r="D62" s="12"/>
      <c r="E62" s="12"/>
      <c r="F62" s="12"/>
      <c r="G62" s="12"/>
      <c r="H62" s="12"/>
      <c r="I62" s="12"/>
      <c r="J62" s="12"/>
      <c r="K62" s="12"/>
    </row>
    <row r="63" customFormat="false" ht="15" hidden="false" customHeight="false" outlineLevel="0" collapsed="false">
      <c r="A63" s="3"/>
      <c r="B63" s="3"/>
      <c r="C63" s="3"/>
      <c r="D63" s="12"/>
      <c r="E63" s="12"/>
      <c r="F63" s="12"/>
      <c r="G63" s="12"/>
      <c r="H63" s="12"/>
      <c r="I63" s="12"/>
      <c r="J63" s="12"/>
      <c r="K63" s="12"/>
    </row>
    <row r="64" customFormat="false" ht="15" hidden="false" customHeight="false" outlineLevel="0" collapsed="false">
      <c r="A64" s="3"/>
      <c r="B64" s="3"/>
      <c r="C64" s="3"/>
      <c r="D64" s="12"/>
      <c r="E64" s="12"/>
      <c r="F64" s="12"/>
      <c r="G64" s="12"/>
      <c r="H64" s="12"/>
      <c r="I64" s="12"/>
      <c r="J64" s="12"/>
      <c r="K64" s="12"/>
    </row>
    <row r="65" customFormat="false" ht="15" hidden="false" customHeight="false" outlineLevel="0" collapsed="false">
      <c r="A65" s="3"/>
      <c r="B65" s="3"/>
      <c r="C65" s="3"/>
      <c r="D65" s="12"/>
      <c r="E65" s="12"/>
      <c r="F65" s="12"/>
      <c r="G65" s="12"/>
      <c r="H65" s="12"/>
      <c r="I65" s="12"/>
      <c r="J65" s="12"/>
      <c r="K65" s="12"/>
    </row>
    <row r="66" customFormat="false" ht="15" hidden="false" customHeight="false" outlineLevel="0" collapsed="false">
      <c r="A66" s="3"/>
      <c r="B66" s="3"/>
      <c r="C66" s="3"/>
      <c r="D66" s="12"/>
      <c r="E66" s="12"/>
      <c r="F66" s="12"/>
      <c r="G66" s="12"/>
      <c r="H66" s="12"/>
      <c r="I66" s="12"/>
      <c r="J66" s="12"/>
      <c r="K66" s="12"/>
    </row>
    <row r="67" customFormat="false" ht="15" hidden="false" customHeight="false" outlineLevel="0" collapsed="false">
      <c r="A67" s="3"/>
      <c r="B67" s="3"/>
      <c r="C67" s="3"/>
      <c r="D67" s="12"/>
      <c r="E67" s="12"/>
      <c r="F67" s="12"/>
      <c r="G67" s="12"/>
      <c r="H67" s="12"/>
      <c r="I67" s="12"/>
      <c r="J67" s="12"/>
      <c r="K67" s="12"/>
    </row>
    <row r="68" customFormat="false" ht="15" hidden="false" customHeight="false" outlineLevel="0" collapsed="false">
      <c r="A68" s="3"/>
      <c r="B68" s="3"/>
      <c r="C68" s="3"/>
      <c r="D68" s="12"/>
      <c r="E68" s="12"/>
      <c r="F68" s="12"/>
      <c r="G68" s="12"/>
      <c r="H68" s="12"/>
      <c r="I68" s="12"/>
      <c r="J68" s="12"/>
      <c r="K68" s="12"/>
    </row>
    <row r="69" customFormat="false" ht="15" hidden="false" customHeight="false" outlineLevel="0" collapsed="false">
      <c r="A69" s="3"/>
      <c r="B69" s="3"/>
      <c r="C69" s="3"/>
      <c r="D69" s="12"/>
      <c r="E69" s="12"/>
      <c r="F69" s="12"/>
      <c r="G69" s="12"/>
      <c r="H69" s="12"/>
      <c r="I69" s="12"/>
      <c r="J69" s="12"/>
      <c r="K69" s="12"/>
    </row>
    <row r="70" customFormat="false" ht="15" hidden="false" customHeight="false" outlineLevel="0" collapsed="false">
      <c r="A70" s="3"/>
      <c r="B70" s="3"/>
      <c r="C70" s="3"/>
      <c r="D70" s="12"/>
      <c r="E70" s="12"/>
      <c r="F70" s="12"/>
      <c r="G70" s="12"/>
      <c r="H70" s="12"/>
      <c r="I70" s="12"/>
      <c r="J70" s="12"/>
      <c r="K70" s="12"/>
    </row>
    <row r="71" customFormat="false" ht="15" hidden="false" customHeight="false" outlineLevel="0" collapsed="false">
      <c r="A71" s="3"/>
      <c r="B71" s="3"/>
      <c r="C71" s="3"/>
      <c r="D71" s="12"/>
      <c r="E71" s="12"/>
      <c r="F71" s="12"/>
      <c r="G71" s="12"/>
      <c r="H71" s="12"/>
      <c r="I71" s="12"/>
      <c r="J71" s="12"/>
      <c r="K71" s="12"/>
    </row>
    <row r="72" customFormat="false" ht="15" hidden="false" customHeight="false" outlineLevel="0" collapsed="false">
      <c r="A72" s="3"/>
      <c r="B72" s="3"/>
      <c r="C72" s="3"/>
      <c r="D72" s="12"/>
      <c r="E72" s="12"/>
      <c r="F72" s="12"/>
      <c r="G72" s="12"/>
      <c r="H72" s="12"/>
      <c r="I72" s="12"/>
      <c r="J72" s="12"/>
      <c r="K72" s="12"/>
    </row>
    <row r="73" customFormat="false" ht="15" hidden="false" customHeight="false" outlineLevel="0" collapsed="false">
      <c r="A73" s="3"/>
      <c r="B73" s="3"/>
      <c r="C73" s="3"/>
      <c r="D73" s="12"/>
      <c r="E73" s="12"/>
      <c r="F73" s="12"/>
      <c r="G73" s="12"/>
      <c r="H73" s="12"/>
      <c r="I73" s="12"/>
      <c r="J73" s="12"/>
      <c r="K73" s="12"/>
    </row>
    <row r="74" customFormat="false" ht="15" hidden="false" customHeight="false" outlineLevel="0" collapsed="false">
      <c r="A74" s="3"/>
      <c r="B74" s="3"/>
      <c r="C74" s="3"/>
      <c r="D74" s="12"/>
      <c r="E74" s="12"/>
      <c r="F74" s="12"/>
      <c r="G74" s="12"/>
      <c r="H74" s="12"/>
      <c r="I74" s="12"/>
      <c r="J74" s="12"/>
      <c r="K74" s="12"/>
    </row>
    <row r="75" customFormat="false" ht="15" hidden="false" customHeight="false" outlineLevel="0" collapsed="false">
      <c r="A75" s="3"/>
      <c r="B75" s="3"/>
      <c r="C75" s="3"/>
      <c r="D75" s="12"/>
      <c r="E75" s="12"/>
      <c r="F75" s="12"/>
      <c r="G75" s="12"/>
      <c r="H75" s="12"/>
      <c r="I75" s="12"/>
      <c r="J75" s="12"/>
      <c r="K75" s="12"/>
    </row>
    <row r="76" customFormat="false" ht="15" hidden="false" customHeight="false" outlineLevel="0" collapsed="false">
      <c r="A76" s="3"/>
      <c r="B76" s="3"/>
      <c r="C76" s="3"/>
      <c r="D76" s="12"/>
      <c r="E76" s="12"/>
      <c r="F76" s="12"/>
      <c r="G76" s="12"/>
      <c r="H76" s="12"/>
      <c r="I76" s="12"/>
      <c r="J76" s="12"/>
      <c r="K76" s="12"/>
    </row>
    <row r="77" customFormat="false" ht="15" hidden="false" customHeight="false" outlineLevel="0" collapsed="false">
      <c r="A77" s="3"/>
      <c r="B77" s="3"/>
      <c r="C77" s="3"/>
      <c r="D77" s="12"/>
      <c r="E77" s="12"/>
      <c r="F77" s="12"/>
      <c r="G77" s="12"/>
      <c r="H77" s="12"/>
      <c r="I77" s="12"/>
      <c r="J77" s="12"/>
      <c r="K77" s="12"/>
    </row>
    <row r="78" customFormat="false" ht="15" hidden="false" customHeight="false" outlineLevel="0" collapsed="false">
      <c r="A78" s="3"/>
      <c r="B78" s="3"/>
      <c r="C78" s="3"/>
      <c r="D78" s="12"/>
      <c r="E78" s="12"/>
      <c r="F78" s="12"/>
      <c r="G78" s="12"/>
      <c r="H78" s="12"/>
      <c r="I78" s="12"/>
      <c r="J78" s="12"/>
      <c r="K78" s="12"/>
    </row>
    <row r="79" customFormat="false" ht="15" hidden="false" customHeight="false" outlineLevel="0" collapsed="false">
      <c r="A79" s="3"/>
      <c r="B79" s="3"/>
      <c r="C79" s="3"/>
      <c r="D79" s="12"/>
      <c r="E79" s="12"/>
      <c r="F79" s="12"/>
      <c r="G79" s="12"/>
      <c r="H79" s="12"/>
      <c r="I79" s="12"/>
      <c r="J79" s="12"/>
      <c r="K79" s="12"/>
    </row>
    <row r="80" customFormat="false" ht="15" hidden="false" customHeight="false" outlineLevel="0" collapsed="false">
      <c r="A80" s="3"/>
      <c r="B80" s="3"/>
      <c r="C80" s="3"/>
      <c r="D80" s="12"/>
      <c r="E80" s="12"/>
      <c r="F80" s="12"/>
      <c r="G80" s="12"/>
      <c r="H80" s="12"/>
      <c r="I80" s="12"/>
      <c r="J80" s="12"/>
      <c r="K80" s="12"/>
    </row>
    <row r="81" customFormat="false" ht="15" hidden="false" customHeight="false" outlineLevel="0" collapsed="false">
      <c r="A81" s="3"/>
      <c r="B81" s="3"/>
      <c r="C81" s="3"/>
      <c r="D81" s="12"/>
      <c r="E81" s="12"/>
      <c r="F81" s="12"/>
      <c r="G81" s="12"/>
      <c r="H81" s="12"/>
      <c r="I81" s="12"/>
      <c r="J81" s="12"/>
      <c r="K81" s="12"/>
    </row>
    <row r="82" customFormat="false" ht="15" hidden="false" customHeight="false" outlineLevel="0" collapsed="false">
      <c r="A82" s="3"/>
      <c r="B82" s="3"/>
      <c r="C82" s="3"/>
      <c r="D82" s="12"/>
      <c r="E82" s="12"/>
      <c r="F82" s="12"/>
      <c r="G82" s="12"/>
      <c r="H82" s="12"/>
      <c r="I82" s="12"/>
      <c r="J82" s="12"/>
      <c r="K82" s="12"/>
    </row>
    <row r="83" customFormat="false" ht="15" hidden="false" customHeight="false" outlineLevel="0" collapsed="false">
      <c r="A83" s="3"/>
      <c r="B83" s="3"/>
      <c r="C83" s="3"/>
      <c r="D83" s="12"/>
      <c r="E83" s="12"/>
      <c r="F83" s="12"/>
      <c r="G83" s="12"/>
      <c r="H83" s="12"/>
      <c r="I83" s="12"/>
      <c r="J83" s="12"/>
      <c r="K83" s="12"/>
    </row>
    <row r="84" customFormat="false" ht="15" hidden="false" customHeight="false" outlineLevel="0" collapsed="false">
      <c r="A84" s="3"/>
      <c r="B84" s="3"/>
      <c r="C84" s="3"/>
      <c r="D84" s="12"/>
      <c r="E84" s="12"/>
      <c r="F84" s="12"/>
      <c r="G84" s="12"/>
      <c r="H84" s="12"/>
      <c r="I84" s="12"/>
      <c r="J84" s="12"/>
      <c r="K84" s="12"/>
    </row>
    <row r="85" customFormat="false" ht="15" hidden="false" customHeight="false" outlineLevel="0" collapsed="false">
      <c r="A85" s="3"/>
      <c r="B85" s="3"/>
      <c r="C85" s="3"/>
      <c r="D85" s="12"/>
      <c r="E85" s="12"/>
      <c r="F85" s="12"/>
      <c r="G85" s="12"/>
      <c r="H85" s="12"/>
      <c r="I85" s="12"/>
      <c r="J85" s="12"/>
      <c r="K85" s="12"/>
    </row>
    <row r="86" customFormat="false" ht="15" hidden="false" customHeight="false" outlineLevel="0" collapsed="false">
      <c r="A86" s="3"/>
      <c r="B86" s="3"/>
      <c r="C86" s="3"/>
      <c r="D86" s="12"/>
      <c r="E86" s="12"/>
      <c r="F86" s="12"/>
      <c r="G86" s="12"/>
      <c r="H86" s="12"/>
      <c r="I86" s="12"/>
      <c r="J86" s="12"/>
      <c r="K86" s="12"/>
    </row>
    <row r="87" customFormat="false" ht="15" hidden="false" customHeight="false" outlineLevel="0" collapsed="false">
      <c r="A87" s="3"/>
      <c r="B87" s="3"/>
      <c r="C87" s="3"/>
      <c r="D87" s="12"/>
      <c r="E87" s="12"/>
      <c r="F87" s="12"/>
      <c r="G87" s="12"/>
      <c r="H87" s="12"/>
      <c r="I87" s="12"/>
      <c r="J87" s="12"/>
      <c r="K87" s="12"/>
    </row>
    <row r="88" customFormat="false" ht="15" hidden="false" customHeight="false" outlineLevel="0" collapsed="false">
      <c r="A88" s="3"/>
      <c r="B88" s="3"/>
      <c r="C88" s="3"/>
      <c r="D88" s="12"/>
      <c r="E88" s="12"/>
      <c r="F88" s="12"/>
      <c r="G88" s="12"/>
      <c r="H88" s="12"/>
      <c r="I88" s="12"/>
      <c r="J88" s="12"/>
      <c r="K88" s="12"/>
    </row>
    <row r="89" customFormat="false" ht="15" hidden="false" customHeight="false" outlineLevel="0" collapsed="false">
      <c r="A89" s="3"/>
      <c r="B89" s="3"/>
      <c r="C89" s="3"/>
      <c r="D89" s="12"/>
      <c r="E89" s="12"/>
      <c r="F89" s="12"/>
      <c r="G89" s="12"/>
      <c r="H89" s="12"/>
      <c r="I89" s="12"/>
      <c r="J89" s="12"/>
      <c r="K89" s="12"/>
    </row>
    <row r="90" customFormat="false" ht="15" hidden="false" customHeight="false" outlineLevel="0" collapsed="false">
      <c r="A90" s="3"/>
      <c r="B90" s="3"/>
      <c r="C90" s="3"/>
      <c r="D90" s="12"/>
      <c r="E90" s="12"/>
      <c r="F90" s="12"/>
      <c r="G90" s="12"/>
      <c r="H90" s="12"/>
      <c r="I90" s="12"/>
      <c r="J90" s="12"/>
      <c r="K90" s="12"/>
    </row>
    <row r="91" customFormat="false" ht="15" hidden="false" customHeight="false" outlineLevel="0" collapsed="false">
      <c r="A91" s="3"/>
      <c r="B91" s="3"/>
      <c r="C91" s="3"/>
      <c r="D91" s="12"/>
      <c r="E91" s="12"/>
      <c r="F91" s="12"/>
      <c r="G91" s="12"/>
      <c r="H91" s="12"/>
      <c r="I91" s="12"/>
      <c r="J91" s="12"/>
      <c r="K91" s="12"/>
    </row>
    <row r="92" customFormat="false" ht="15" hidden="false" customHeight="false" outlineLevel="0" collapsed="false">
      <c r="A92" s="3"/>
      <c r="B92" s="3"/>
      <c r="C92" s="3"/>
      <c r="D92" s="12"/>
      <c r="E92" s="12"/>
      <c r="F92" s="12"/>
      <c r="G92" s="12"/>
      <c r="H92" s="12"/>
      <c r="I92" s="12"/>
      <c r="J92" s="12"/>
      <c r="K92" s="12"/>
    </row>
    <row r="93" customFormat="false" ht="15" hidden="false" customHeight="false" outlineLevel="0" collapsed="false">
      <c r="A93" s="3"/>
      <c r="B93" s="3"/>
      <c r="C93" s="3"/>
      <c r="D93" s="12"/>
      <c r="E93" s="12"/>
      <c r="F93" s="12"/>
      <c r="G93" s="12"/>
      <c r="H93" s="12"/>
      <c r="I93" s="12"/>
      <c r="J93" s="12"/>
      <c r="K93" s="12"/>
    </row>
    <row r="94" customFormat="false" ht="15" hidden="false" customHeight="false" outlineLevel="0" collapsed="false">
      <c r="A94" s="3"/>
      <c r="B94" s="3"/>
      <c r="C94" s="3"/>
      <c r="D94" s="12"/>
      <c r="E94" s="12"/>
      <c r="F94" s="12"/>
      <c r="G94" s="12"/>
      <c r="H94" s="12"/>
      <c r="I94" s="12"/>
      <c r="J94" s="12"/>
      <c r="K94" s="12"/>
    </row>
    <row r="95" customFormat="false" ht="15" hidden="false" customHeight="false" outlineLevel="0" collapsed="false">
      <c r="A95" s="3"/>
      <c r="B95" s="3"/>
      <c r="C95" s="3"/>
      <c r="D95" s="12"/>
      <c r="E95" s="12"/>
      <c r="F95" s="12"/>
      <c r="G95" s="12"/>
      <c r="H95" s="12"/>
      <c r="I95" s="12"/>
      <c r="J95" s="12"/>
      <c r="K95" s="12"/>
    </row>
    <row r="96" customFormat="false" ht="15" hidden="false" customHeight="false" outlineLevel="0" collapsed="false">
      <c r="A96" s="3"/>
      <c r="B96" s="3"/>
      <c r="C96" s="3"/>
      <c r="D96" s="12"/>
      <c r="E96" s="12"/>
      <c r="F96" s="12"/>
      <c r="G96" s="12"/>
      <c r="H96" s="12"/>
      <c r="I96" s="12"/>
      <c r="J96" s="12"/>
      <c r="K96" s="12"/>
    </row>
    <row r="97" customFormat="false" ht="15" hidden="false" customHeight="false" outlineLevel="0" collapsed="false">
      <c r="A97" s="3"/>
      <c r="B97" s="3"/>
      <c r="C97" s="3"/>
      <c r="D97" s="12"/>
      <c r="E97" s="12"/>
      <c r="F97" s="12"/>
      <c r="G97" s="12"/>
      <c r="H97" s="12"/>
      <c r="I97" s="12"/>
      <c r="J97" s="12"/>
      <c r="K97" s="12"/>
    </row>
    <row r="98" customFormat="false" ht="15" hidden="false" customHeight="false" outlineLevel="0" collapsed="false">
      <c r="A98" s="3"/>
      <c r="B98" s="3"/>
      <c r="C98" s="3"/>
      <c r="D98" s="12"/>
      <c r="E98" s="12"/>
      <c r="F98" s="12"/>
      <c r="G98" s="12"/>
      <c r="H98" s="12"/>
      <c r="I98" s="12"/>
      <c r="J98" s="12"/>
      <c r="K98" s="12"/>
    </row>
    <row r="99" customFormat="false" ht="15" hidden="false" customHeight="false" outlineLevel="0" collapsed="false">
      <c r="A99" s="3"/>
      <c r="B99" s="3"/>
      <c r="C99" s="3"/>
      <c r="D99" s="12"/>
      <c r="E99" s="12"/>
      <c r="F99" s="12"/>
      <c r="G99" s="12"/>
      <c r="H99" s="12"/>
      <c r="I99" s="12"/>
      <c r="J99" s="12"/>
      <c r="K99" s="12"/>
    </row>
    <row r="100" customFormat="false" ht="15" hidden="false" customHeight="false" outlineLevel="0" collapsed="false">
      <c r="A100" s="3"/>
      <c r="B100" s="3"/>
      <c r="C100" s="3"/>
      <c r="D100" s="12"/>
      <c r="E100" s="12"/>
      <c r="F100" s="12"/>
      <c r="G100" s="12"/>
      <c r="H100" s="12"/>
      <c r="I100" s="12"/>
      <c r="J100" s="12"/>
      <c r="K100" s="12"/>
    </row>
    <row r="101" customFormat="false" ht="15" hidden="false" customHeight="false" outlineLevel="0" collapsed="false">
      <c r="A101" s="3"/>
      <c r="B101" s="3"/>
      <c r="C101" s="3"/>
      <c r="D101" s="12"/>
      <c r="E101" s="12"/>
      <c r="F101" s="12"/>
      <c r="G101" s="12"/>
      <c r="H101" s="12"/>
      <c r="I101" s="12"/>
      <c r="J101" s="12"/>
      <c r="K101" s="12"/>
    </row>
    <row r="102" customFormat="false" ht="15" hidden="false" customHeight="false" outlineLevel="0" collapsed="false">
      <c r="A102" s="3"/>
      <c r="B102" s="3"/>
      <c r="C102" s="3"/>
      <c r="D102" s="12"/>
      <c r="E102" s="12"/>
      <c r="F102" s="12"/>
      <c r="G102" s="12"/>
      <c r="H102" s="12"/>
      <c r="I102" s="12"/>
      <c r="J102" s="12"/>
      <c r="K102" s="12"/>
    </row>
    <row r="103" customFormat="false" ht="15" hidden="false" customHeight="false" outlineLevel="0" collapsed="false">
      <c r="A103" s="3"/>
      <c r="B103" s="3"/>
      <c r="C103" s="3"/>
      <c r="D103" s="12"/>
      <c r="E103" s="12"/>
      <c r="F103" s="12"/>
      <c r="G103" s="12"/>
      <c r="H103" s="12"/>
      <c r="I103" s="12"/>
      <c r="J103" s="12"/>
      <c r="K103" s="12"/>
    </row>
    <row r="104" customFormat="false" ht="15" hidden="false" customHeight="false" outlineLevel="0" collapsed="false">
      <c r="A104" s="3"/>
      <c r="B104" s="3"/>
      <c r="C104" s="3"/>
      <c r="D104" s="12"/>
      <c r="E104" s="12"/>
      <c r="F104" s="12"/>
      <c r="G104" s="12"/>
      <c r="H104" s="12"/>
      <c r="I104" s="12"/>
      <c r="J104" s="12"/>
      <c r="K104" s="12"/>
    </row>
    <row r="105" customFormat="false" ht="15" hidden="false" customHeight="false" outlineLevel="0" collapsed="false">
      <c r="A105" s="3"/>
      <c r="B105" s="3"/>
      <c r="C105" s="3"/>
      <c r="D105" s="12"/>
      <c r="E105" s="12"/>
      <c r="F105" s="12"/>
      <c r="G105" s="12"/>
      <c r="H105" s="12"/>
      <c r="I105" s="12"/>
      <c r="J105" s="12"/>
      <c r="K105" s="12"/>
    </row>
    <row r="106" customFormat="false" ht="15" hidden="false" customHeight="false" outlineLevel="0" collapsed="false">
      <c r="A106" s="3"/>
      <c r="B106" s="3"/>
      <c r="C106" s="3"/>
      <c r="D106" s="12"/>
      <c r="E106" s="12"/>
      <c r="F106" s="12"/>
      <c r="G106" s="12"/>
      <c r="H106" s="12"/>
      <c r="I106" s="12"/>
      <c r="J106" s="12"/>
      <c r="K106" s="12"/>
    </row>
    <row r="107" customFormat="false" ht="15" hidden="false" customHeight="false" outlineLevel="0" collapsed="false">
      <c r="A107" s="3"/>
      <c r="B107" s="3"/>
      <c r="C107" s="3"/>
      <c r="D107" s="12"/>
      <c r="E107" s="12"/>
      <c r="F107" s="12"/>
      <c r="G107" s="12"/>
      <c r="H107" s="12"/>
      <c r="I107" s="12"/>
      <c r="J107" s="12"/>
      <c r="K107" s="12"/>
    </row>
    <row r="108" customFormat="false" ht="15" hidden="false" customHeight="false" outlineLevel="0" collapsed="false">
      <c r="A108" s="3"/>
      <c r="B108" s="3"/>
      <c r="C108" s="3"/>
      <c r="D108" s="12"/>
      <c r="E108" s="12"/>
      <c r="F108" s="12"/>
      <c r="G108" s="12"/>
      <c r="H108" s="12"/>
      <c r="I108" s="12"/>
      <c r="J108" s="12"/>
      <c r="K108" s="12"/>
    </row>
    <row r="109" customFormat="false" ht="15" hidden="false" customHeight="false" outlineLevel="0" collapsed="false">
      <c r="A109" s="3"/>
      <c r="B109" s="3"/>
      <c r="C109" s="3"/>
      <c r="D109" s="12"/>
      <c r="E109" s="12"/>
      <c r="F109" s="12"/>
      <c r="G109" s="12"/>
      <c r="H109" s="12"/>
      <c r="I109" s="12"/>
      <c r="J109" s="12"/>
      <c r="K109" s="12"/>
    </row>
    <row r="110" customFormat="false" ht="15" hidden="false" customHeight="false" outlineLevel="0" collapsed="false">
      <c r="A110" s="3"/>
      <c r="B110" s="3"/>
      <c r="C110" s="3"/>
      <c r="D110" s="12"/>
      <c r="E110" s="12"/>
      <c r="F110" s="12"/>
      <c r="G110" s="12"/>
      <c r="H110" s="12"/>
      <c r="I110" s="12"/>
      <c r="J110" s="12"/>
      <c r="K110" s="12"/>
    </row>
    <row r="111" customFormat="false" ht="15" hidden="false" customHeight="false" outlineLevel="0" collapsed="false">
      <c r="A111" s="3"/>
      <c r="B111" s="3"/>
      <c r="C111" s="3"/>
      <c r="D111" s="12"/>
      <c r="E111" s="12"/>
      <c r="F111" s="12"/>
      <c r="G111" s="12"/>
      <c r="H111" s="12"/>
      <c r="I111" s="12"/>
      <c r="J111" s="12"/>
      <c r="K111" s="12"/>
    </row>
    <row r="112" customFormat="false" ht="15" hidden="false" customHeight="false" outlineLevel="0" collapsed="false">
      <c r="A112" s="3"/>
      <c r="B112" s="3"/>
      <c r="C112" s="3"/>
      <c r="D112" s="12"/>
      <c r="E112" s="12"/>
      <c r="F112" s="12"/>
      <c r="G112" s="12"/>
      <c r="H112" s="12"/>
      <c r="I112" s="12"/>
      <c r="J112" s="12"/>
      <c r="K112" s="12"/>
    </row>
    <row r="113" customFormat="false" ht="15" hidden="false" customHeight="false" outlineLevel="0" collapsed="false">
      <c r="A113" s="3"/>
      <c r="B113" s="3"/>
      <c r="C113" s="3"/>
      <c r="D113" s="12"/>
      <c r="E113" s="12"/>
      <c r="F113" s="12"/>
      <c r="G113" s="12"/>
      <c r="H113" s="12"/>
      <c r="I113" s="12"/>
      <c r="J113" s="12"/>
      <c r="K113" s="12"/>
    </row>
    <row r="114" customFormat="false" ht="15" hidden="false" customHeight="false" outlineLevel="0" collapsed="false">
      <c r="A114" s="3"/>
      <c r="B114" s="3"/>
      <c r="C114" s="3"/>
      <c r="D114" s="12"/>
      <c r="E114" s="12"/>
      <c r="F114" s="12"/>
      <c r="G114" s="12"/>
      <c r="H114" s="12"/>
      <c r="I114" s="12"/>
      <c r="J114" s="12"/>
      <c r="K114" s="12"/>
    </row>
    <row r="115" customFormat="false" ht="15" hidden="false" customHeight="false" outlineLevel="0" collapsed="false">
      <c r="A115" s="3"/>
      <c r="B115" s="3"/>
      <c r="C115" s="3"/>
      <c r="D115" s="12"/>
      <c r="E115" s="12"/>
      <c r="F115" s="12"/>
      <c r="G115" s="12"/>
      <c r="H115" s="12"/>
      <c r="I115" s="12"/>
      <c r="J115" s="12"/>
      <c r="K115" s="12"/>
    </row>
    <row r="116" customFormat="false" ht="15" hidden="false" customHeight="false" outlineLevel="0" collapsed="false">
      <c r="A116" s="3"/>
      <c r="B116" s="3"/>
      <c r="C116" s="3"/>
      <c r="D116" s="12"/>
      <c r="E116" s="12"/>
      <c r="F116" s="12"/>
      <c r="G116" s="12"/>
      <c r="H116" s="12"/>
      <c r="I116" s="12"/>
      <c r="J116" s="12"/>
      <c r="K116" s="12"/>
    </row>
    <row r="117" customFormat="false" ht="15" hidden="false" customHeight="false" outlineLevel="0" collapsed="false">
      <c r="A117" s="3"/>
      <c r="B117" s="3"/>
      <c r="C117" s="3"/>
      <c r="D117" s="12"/>
      <c r="E117" s="12"/>
      <c r="F117" s="12"/>
      <c r="G117" s="12"/>
      <c r="H117" s="12"/>
      <c r="I117" s="12"/>
      <c r="J117" s="12"/>
      <c r="K117" s="12"/>
    </row>
    <row r="118" customFormat="false" ht="15" hidden="false" customHeight="false" outlineLevel="0" collapsed="false">
      <c r="A118" s="3"/>
      <c r="B118" s="3"/>
      <c r="C118" s="3"/>
      <c r="D118" s="12"/>
      <c r="E118" s="12"/>
      <c r="F118" s="12"/>
      <c r="G118" s="12"/>
      <c r="H118" s="12"/>
      <c r="I118" s="12"/>
      <c r="J118" s="12"/>
      <c r="K118" s="12"/>
    </row>
    <row r="119" customFormat="false" ht="15" hidden="false" customHeight="false" outlineLevel="0" collapsed="false">
      <c r="A119" s="3"/>
      <c r="B119" s="3"/>
      <c r="C119" s="3"/>
      <c r="D119" s="12"/>
      <c r="E119" s="12"/>
      <c r="F119" s="12"/>
      <c r="G119" s="12"/>
      <c r="H119" s="12"/>
      <c r="I119" s="12"/>
      <c r="J119" s="12"/>
      <c r="K119" s="12"/>
    </row>
    <row r="120" customFormat="false" ht="15" hidden="false" customHeight="false" outlineLevel="0" collapsed="false">
      <c r="A120" s="3"/>
      <c r="B120" s="3"/>
      <c r="C120" s="3"/>
      <c r="D120" s="12"/>
      <c r="E120" s="12"/>
      <c r="F120" s="12"/>
      <c r="G120" s="12"/>
      <c r="H120" s="12"/>
      <c r="I120" s="12"/>
      <c r="J120" s="12"/>
      <c r="K120" s="12"/>
    </row>
    <row r="121" customFormat="false" ht="15" hidden="false" customHeight="false" outlineLevel="0" collapsed="false">
      <c r="A121" s="3"/>
      <c r="B121" s="3"/>
      <c r="C121" s="3"/>
      <c r="D121" s="12"/>
      <c r="E121" s="12"/>
      <c r="F121" s="12"/>
      <c r="G121" s="12"/>
      <c r="H121" s="12"/>
      <c r="I121" s="12"/>
      <c r="J121" s="12"/>
      <c r="K121" s="12"/>
    </row>
    <row r="122" customFormat="false" ht="15" hidden="false" customHeight="false" outlineLevel="0" collapsed="false">
      <c r="A122" s="3"/>
      <c r="B122" s="3"/>
      <c r="C122" s="3"/>
      <c r="D122" s="12"/>
      <c r="E122" s="12"/>
      <c r="F122" s="12"/>
      <c r="G122" s="12"/>
      <c r="H122" s="12"/>
      <c r="I122" s="12"/>
      <c r="J122" s="12"/>
      <c r="K122" s="12"/>
    </row>
    <row r="123" customFormat="false" ht="15" hidden="false" customHeight="false" outlineLevel="0" collapsed="false">
      <c r="A123" s="3"/>
      <c r="B123" s="3"/>
      <c r="C123" s="3"/>
      <c r="D123" s="12"/>
      <c r="E123" s="12"/>
      <c r="F123" s="12"/>
      <c r="G123" s="12"/>
      <c r="H123" s="12"/>
      <c r="I123" s="12"/>
      <c r="J123" s="12"/>
      <c r="K123" s="12"/>
    </row>
    <row r="124" customFormat="false" ht="15" hidden="false" customHeight="false" outlineLevel="0" collapsed="false">
      <c r="A124" s="3"/>
      <c r="B124" s="3"/>
      <c r="C124" s="3"/>
      <c r="D124" s="12"/>
      <c r="E124" s="12"/>
      <c r="F124" s="12"/>
      <c r="G124" s="12"/>
      <c r="H124" s="12"/>
      <c r="I124" s="12"/>
      <c r="J124" s="12"/>
      <c r="K124" s="12"/>
    </row>
    <row r="125" customFormat="false" ht="15" hidden="false" customHeight="false" outlineLevel="0" collapsed="false">
      <c r="A125" s="3"/>
      <c r="B125" s="3"/>
      <c r="C125" s="3"/>
      <c r="D125" s="12"/>
      <c r="E125" s="12"/>
      <c r="F125" s="12"/>
      <c r="G125" s="12"/>
      <c r="H125" s="12"/>
      <c r="I125" s="12"/>
      <c r="J125" s="12"/>
      <c r="K125" s="12"/>
    </row>
    <row r="126" customFormat="false" ht="15" hidden="false" customHeight="false" outlineLevel="0" collapsed="false">
      <c r="A126" s="3"/>
      <c r="B126" s="3"/>
      <c r="C126" s="3"/>
      <c r="D126" s="12"/>
      <c r="E126" s="12"/>
      <c r="F126" s="12"/>
      <c r="G126" s="12"/>
      <c r="H126" s="12"/>
      <c r="I126" s="12"/>
      <c r="J126" s="12"/>
      <c r="K126" s="12"/>
    </row>
    <row r="127" customFormat="false" ht="15" hidden="false" customHeight="false" outlineLevel="0" collapsed="false">
      <c r="A127" s="3"/>
      <c r="B127" s="3"/>
      <c r="C127" s="3"/>
      <c r="D127" s="12"/>
      <c r="E127" s="12"/>
      <c r="F127" s="12"/>
      <c r="G127" s="12"/>
      <c r="H127" s="12"/>
      <c r="I127" s="12"/>
      <c r="J127" s="12"/>
      <c r="K127" s="12"/>
    </row>
    <row r="128" customFormat="false" ht="15" hidden="false" customHeight="false" outlineLevel="0" collapsed="false">
      <c r="A128" s="3"/>
      <c r="B128" s="3"/>
      <c r="C128" s="3"/>
      <c r="D128" s="12"/>
      <c r="E128" s="12"/>
      <c r="F128" s="12"/>
      <c r="G128" s="12"/>
      <c r="H128" s="12"/>
      <c r="I128" s="12"/>
      <c r="J128" s="12"/>
      <c r="K128" s="12"/>
    </row>
    <row r="129" customFormat="false" ht="15" hidden="false" customHeight="false" outlineLevel="0" collapsed="false">
      <c r="A129" s="3"/>
      <c r="B129" s="3"/>
      <c r="C129" s="3"/>
      <c r="D129" s="12"/>
      <c r="E129" s="12"/>
      <c r="F129" s="12"/>
      <c r="G129" s="12"/>
      <c r="H129" s="12"/>
      <c r="I129" s="12"/>
      <c r="J129" s="12"/>
      <c r="K129" s="12"/>
    </row>
    <row r="130" customFormat="false" ht="15" hidden="false" customHeight="false" outlineLevel="0" collapsed="false">
      <c r="A130" s="3"/>
      <c r="B130" s="3"/>
      <c r="C130" s="3"/>
      <c r="D130" s="12"/>
      <c r="E130" s="12"/>
      <c r="F130" s="12"/>
      <c r="G130" s="12"/>
      <c r="H130" s="12"/>
      <c r="I130" s="12"/>
      <c r="J130" s="12"/>
      <c r="K130" s="12"/>
    </row>
    <row r="131" customFormat="false" ht="15" hidden="false" customHeight="false" outlineLevel="0" collapsed="false">
      <c r="A131" s="3"/>
      <c r="B131" s="3"/>
      <c r="C131" s="3"/>
      <c r="D131" s="12"/>
      <c r="E131" s="12"/>
      <c r="F131" s="12"/>
      <c r="G131" s="12"/>
      <c r="H131" s="12"/>
      <c r="I131" s="12"/>
      <c r="J131" s="12"/>
      <c r="K131" s="12"/>
    </row>
    <row r="132" customFormat="false" ht="15" hidden="false" customHeight="false" outlineLevel="0" collapsed="false">
      <c r="A132" s="3"/>
      <c r="B132" s="3"/>
      <c r="C132" s="3"/>
      <c r="D132" s="12"/>
      <c r="E132" s="12"/>
      <c r="F132" s="12"/>
      <c r="G132" s="12"/>
      <c r="H132" s="12"/>
      <c r="I132" s="12"/>
      <c r="J132" s="12"/>
      <c r="K132" s="12"/>
    </row>
    <row r="133" customFormat="false" ht="15" hidden="false" customHeight="false" outlineLevel="0" collapsed="false">
      <c r="A133" s="3"/>
      <c r="B133" s="3"/>
      <c r="C133" s="3"/>
      <c r="D133" s="12"/>
      <c r="E133" s="12"/>
      <c r="F133" s="12"/>
      <c r="G133" s="12"/>
      <c r="H133" s="12"/>
      <c r="I133" s="12"/>
      <c r="J133" s="12"/>
      <c r="K133" s="12"/>
    </row>
    <row r="134" customFormat="false" ht="15" hidden="false" customHeight="false" outlineLevel="0" collapsed="false">
      <c r="A134" s="3"/>
      <c r="B134" s="3"/>
      <c r="C134" s="3"/>
      <c r="D134" s="12"/>
      <c r="E134" s="12"/>
      <c r="F134" s="12"/>
      <c r="G134" s="12"/>
      <c r="H134" s="12"/>
      <c r="I134" s="12"/>
      <c r="J134" s="12"/>
      <c r="K134" s="12"/>
    </row>
    <row r="135" customFormat="false" ht="15" hidden="false" customHeight="false" outlineLevel="0" collapsed="false">
      <c r="A135" s="3"/>
      <c r="B135" s="3"/>
      <c r="C135" s="3"/>
      <c r="D135" s="12"/>
      <c r="E135" s="12"/>
      <c r="F135" s="12"/>
      <c r="G135" s="12"/>
      <c r="H135" s="12"/>
      <c r="I135" s="12"/>
      <c r="J135" s="12"/>
      <c r="K135" s="12"/>
    </row>
    <row r="136" customFormat="false" ht="15" hidden="false" customHeight="false" outlineLevel="0" collapsed="false">
      <c r="A136" s="3"/>
      <c r="B136" s="3"/>
      <c r="C136" s="3"/>
      <c r="D136" s="12"/>
      <c r="E136" s="12"/>
      <c r="F136" s="12"/>
      <c r="G136" s="12"/>
      <c r="H136" s="12"/>
      <c r="I136" s="12"/>
      <c r="J136" s="12"/>
      <c r="K136" s="12"/>
    </row>
    <row r="137" customFormat="false" ht="15" hidden="false" customHeight="false" outlineLevel="0" collapsed="false">
      <c r="A137" s="3"/>
      <c r="B137" s="3"/>
      <c r="C137" s="3"/>
      <c r="D137" s="12"/>
      <c r="E137" s="12"/>
      <c r="F137" s="12"/>
      <c r="G137" s="12"/>
      <c r="H137" s="12"/>
      <c r="I137" s="12"/>
      <c r="J137" s="12"/>
      <c r="K137" s="12"/>
    </row>
    <row r="138" customFormat="false" ht="15" hidden="false" customHeight="false" outlineLevel="0" collapsed="false">
      <c r="A138" s="3"/>
      <c r="B138" s="3"/>
      <c r="C138" s="3"/>
      <c r="D138" s="12"/>
      <c r="E138" s="12"/>
      <c r="F138" s="12"/>
      <c r="G138" s="12"/>
      <c r="H138" s="12"/>
      <c r="I138" s="12"/>
      <c r="J138" s="12"/>
      <c r="K138" s="12"/>
    </row>
    <row r="139" customFormat="false" ht="15" hidden="false" customHeight="false" outlineLevel="0" collapsed="false">
      <c r="A139" s="3"/>
      <c r="B139" s="3"/>
      <c r="C139" s="3"/>
      <c r="D139" s="12"/>
      <c r="E139" s="12"/>
      <c r="F139" s="12"/>
      <c r="G139" s="12"/>
      <c r="H139" s="12"/>
      <c r="I139" s="12"/>
      <c r="J139" s="12"/>
      <c r="K139" s="12"/>
    </row>
    <row r="140" customFormat="false" ht="15" hidden="false" customHeight="false" outlineLevel="0" collapsed="false">
      <c r="A140" s="3"/>
      <c r="B140" s="3"/>
      <c r="C140" s="3"/>
      <c r="D140" s="12"/>
      <c r="E140" s="12"/>
      <c r="F140" s="12"/>
      <c r="G140" s="12"/>
      <c r="H140" s="12"/>
      <c r="I140" s="12"/>
      <c r="J140" s="12"/>
      <c r="K140" s="12"/>
    </row>
    <row r="141" customFormat="false" ht="15" hidden="false" customHeight="false" outlineLevel="0" collapsed="false">
      <c r="A141" s="3"/>
      <c r="B141" s="3"/>
      <c r="C141" s="3"/>
      <c r="D141" s="12"/>
      <c r="E141" s="12"/>
      <c r="F141" s="12"/>
      <c r="G141" s="12"/>
      <c r="H141" s="12"/>
      <c r="I141" s="12"/>
      <c r="J141" s="12"/>
      <c r="K141" s="12"/>
    </row>
    <row r="142" customFormat="false" ht="15" hidden="false" customHeight="false" outlineLevel="0" collapsed="false">
      <c r="A142" s="3"/>
      <c r="B142" s="3"/>
      <c r="C142" s="3"/>
      <c r="D142" s="12"/>
      <c r="E142" s="12"/>
      <c r="F142" s="12"/>
      <c r="G142" s="12"/>
      <c r="H142" s="12"/>
      <c r="I142" s="12"/>
      <c r="J142" s="12"/>
      <c r="K142" s="12"/>
    </row>
    <row r="143" customFormat="false" ht="15" hidden="false" customHeight="false" outlineLevel="0" collapsed="false">
      <c r="A143" s="3"/>
      <c r="B143" s="3"/>
      <c r="C143" s="3"/>
      <c r="D143" s="12"/>
      <c r="E143" s="12"/>
      <c r="F143" s="12"/>
      <c r="G143" s="12"/>
      <c r="H143" s="12"/>
      <c r="I143" s="12"/>
      <c r="J143" s="12"/>
      <c r="K143" s="12"/>
    </row>
    <row r="144" customFormat="false" ht="15" hidden="false" customHeight="false" outlineLevel="0" collapsed="false">
      <c r="A144" s="3"/>
      <c r="B144" s="3"/>
      <c r="C144" s="3"/>
      <c r="D144" s="12"/>
      <c r="E144" s="12"/>
      <c r="F144" s="12"/>
      <c r="G144" s="12"/>
      <c r="H144" s="12"/>
      <c r="I144" s="12"/>
      <c r="J144" s="12"/>
      <c r="K144" s="12"/>
    </row>
    <row r="145" customFormat="false" ht="15" hidden="false" customHeight="false" outlineLevel="0" collapsed="false">
      <c r="A145" s="3"/>
      <c r="B145" s="3"/>
      <c r="C145" s="3"/>
      <c r="D145" s="12"/>
      <c r="E145" s="12"/>
      <c r="F145" s="12"/>
      <c r="G145" s="12"/>
      <c r="H145" s="12"/>
      <c r="I145" s="12"/>
      <c r="J145" s="12"/>
      <c r="K145" s="12"/>
    </row>
    <row r="146" customFormat="false" ht="15" hidden="false" customHeight="false" outlineLevel="0" collapsed="false">
      <c r="A146" s="3"/>
      <c r="B146" s="3"/>
      <c r="C146" s="3"/>
      <c r="D146" s="12"/>
      <c r="E146" s="12"/>
      <c r="F146" s="12"/>
      <c r="G146" s="12"/>
      <c r="H146" s="12"/>
      <c r="I146" s="12"/>
      <c r="J146" s="12"/>
      <c r="K146" s="12"/>
    </row>
    <row r="147" customFormat="false" ht="15" hidden="false" customHeight="false" outlineLevel="0" collapsed="false">
      <c r="A147" s="3"/>
      <c r="B147" s="3"/>
      <c r="C147" s="3"/>
      <c r="D147" s="12"/>
      <c r="E147" s="12"/>
      <c r="F147" s="12"/>
      <c r="G147" s="12"/>
      <c r="H147" s="12"/>
      <c r="I147" s="12"/>
      <c r="J147" s="12"/>
      <c r="K147" s="12"/>
    </row>
    <row r="148" customFormat="false" ht="15" hidden="false" customHeight="false" outlineLevel="0" collapsed="false">
      <c r="A148" s="3"/>
      <c r="B148" s="3"/>
      <c r="C148" s="3"/>
      <c r="D148" s="12"/>
      <c r="E148" s="12"/>
      <c r="F148" s="12"/>
      <c r="G148" s="12"/>
      <c r="H148" s="12"/>
      <c r="I148" s="12"/>
      <c r="J148" s="12"/>
      <c r="K148" s="12"/>
    </row>
    <row r="149" customFormat="false" ht="15" hidden="false" customHeight="false" outlineLevel="0" collapsed="false">
      <c r="A149" s="3"/>
      <c r="B149" s="3"/>
      <c r="C149" s="3"/>
      <c r="D149" s="12"/>
      <c r="E149" s="12"/>
      <c r="F149" s="12"/>
      <c r="G149" s="12"/>
      <c r="H149" s="12"/>
      <c r="I149" s="12"/>
      <c r="J149" s="12"/>
      <c r="K149" s="12"/>
    </row>
    <row r="150" customFormat="false" ht="15" hidden="false" customHeight="false" outlineLevel="0" collapsed="false">
      <c r="A150" s="3"/>
      <c r="B150" s="3"/>
      <c r="C150" s="3"/>
      <c r="D150" s="12"/>
      <c r="E150" s="12"/>
      <c r="F150" s="12"/>
      <c r="G150" s="12"/>
      <c r="H150" s="12"/>
      <c r="I150" s="12"/>
      <c r="J150" s="12"/>
      <c r="K150" s="12"/>
    </row>
    <row r="151" customFormat="false" ht="15" hidden="false" customHeight="false" outlineLevel="0" collapsed="false">
      <c r="A151" s="3"/>
      <c r="B151" s="3"/>
      <c r="C151" s="3"/>
      <c r="D151" s="12"/>
      <c r="E151" s="12"/>
      <c r="F151" s="12"/>
      <c r="G151" s="12"/>
      <c r="H151" s="12"/>
      <c r="I151" s="12"/>
      <c r="J151" s="12"/>
      <c r="K151" s="12"/>
    </row>
    <row r="152" customFormat="false" ht="15" hidden="false" customHeight="false" outlineLevel="0" collapsed="false">
      <c r="A152" s="3"/>
      <c r="B152" s="3"/>
      <c r="C152" s="3"/>
      <c r="D152" s="12"/>
      <c r="E152" s="12"/>
      <c r="F152" s="12"/>
      <c r="G152" s="12"/>
      <c r="H152" s="12"/>
      <c r="I152" s="12"/>
      <c r="J152" s="12"/>
      <c r="K152" s="12"/>
    </row>
    <row r="153" customFormat="false" ht="15" hidden="false" customHeight="false" outlineLevel="0" collapsed="false">
      <c r="A153" s="3"/>
      <c r="B153" s="3"/>
      <c r="C153" s="3"/>
      <c r="D153" s="12"/>
      <c r="E153" s="12"/>
      <c r="F153" s="12"/>
      <c r="G153" s="12"/>
      <c r="H153" s="12"/>
      <c r="I153" s="12"/>
      <c r="J153" s="12"/>
      <c r="K153" s="12"/>
    </row>
    <row r="154" customFormat="false" ht="15" hidden="false" customHeight="false" outlineLevel="0" collapsed="false">
      <c r="A154" s="3"/>
      <c r="B154" s="3"/>
      <c r="C154" s="3"/>
      <c r="D154" s="12"/>
      <c r="E154" s="12"/>
      <c r="F154" s="12"/>
      <c r="G154" s="12"/>
      <c r="H154" s="12"/>
      <c r="I154" s="12"/>
      <c r="J154" s="12"/>
      <c r="K154" s="12"/>
    </row>
    <row r="155" customFormat="false" ht="15" hidden="false" customHeight="false" outlineLevel="0" collapsed="false">
      <c r="A155" s="3"/>
      <c r="B155" s="3"/>
      <c r="C155" s="3"/>
      <c r="D155" s="12"/>
      <c r="E155" s="12"/>
      <c r="F155" s="12"/>
      <c r="G155" s="12"/>
      <c r="H155" s="12"/>
      <c r="I155" s="12"/>
      <c r="J155" s="12"/>
      <c r="K155" s="12"/>
    </row>
    <row r="156" customFormat="false" ht="15" hidden="false" customHeight="false" outlineLevel="0" collapsed="false">
      <c r="A156" s="3"/>
      <c r="B156" s="3"/>
      <c r="C156" s="3"/>
      <c r="D156" s="12"/>
      <c r="E156" s="12"/>
      <c r="F156" s="12"/>
      <c r="G156" s="12"/>
      <c r="H156" s="12"/>
      <c r="I156" s="12"/>
      <c r="J156" s="12"/>
      <c r="K156" s="12"/>
    </row>
    <row r="157" customFormat="false" ht="15" hidden="false" customHeight="false" outlineLevel="0" collapsed="false">
      <c r="A157" s="3"/>
      <c r="B157" s="3"/>
      <c r="C157" s="3"/>
      <c r="D157" s="12"/>
      <c r="E157" s="12"/>
      <c r="F157" s="12"/>
      <c r="G157" s="12"/>
      <c r="H157" s="12"/>
      <c r="I157" s="12"/>
      <c r="J157" s="12"/>
      <c r="K157" s="12"/>
    </row>
    <row r="158" customFormat="false" ht="15" hidden="false" customHeight="false" outlineLevel="0" collapsed="false">
      <c r="A158" s="3"/>
      <c r="B158" s="3"/>
      <c r="C158" s="3"/>
      <c r="D158" s="12"/>
      <c r="E158" s="12"/>
      <c r="F158" s="12"/>
      <c r="G158" s="12"/>
      <c r="H158" s="12"/>
      <c r="I158" s="12"/>
      <c r="J158" s="12"/>
      <c r="K158" s="12"/>
    </row>
    <row r="159" customFormat="false" ht="15" hidden="false" customHeight="false" outlineLevel="0" collapsed="false">
      <c r="A159" s="3"/>
      <c r="B159" s="3"/>
      <c r="C159" s="3"/>
      <c r="D159" s="12"/>
      <c r="E159" s="12"/>
      <c r="F159" s="12"/>
      <c r="G159" s="12"/>
      <c r="H159" s="12"/>
      <c r="I159" s="12"/>
      <c r="J159" s="12"/>
      <c r="K159" s="12"/>
    </row>
    <row r="160" customFormat="false" ht="15" hidden="false" customHeight="false" outlineLevel="0" collapsed="false">
      <c r="A160" s="3"/>
      <c r="B160" s="3"/>
      <c r="C160" s="3"/>
      <c r="D160" s="12"/>
      <c r="E160" s="12"/>
      <c r="F160" s="12"/>
      <c r="G160" s="12"/>
      <c r="H160" s="12"/>
      <c r="I160" s="12"/>
      <c r="J160" s="12"/>
      <c r="K160" s="12"/>
    </row>
    <row r="161" customFormat="false" ht="15" hidden="false" customHeight="false" outlineLevel="0" collapsed="false">
      <c r="A161" s="3"/>
      <c r="B161" s="3"/>
      <c r="C161" s="3"/>
      <c r="D161" s="12"/>
      <c r="E161" s="12"/>
      <c r="F161" s="12"/>
      <c r="G161" s="12"/>
      <c r="H161" s="12"/>
      <c r="I161" s="12"/>
      <c r="J161" s="12"/>
      <c r="K161" s="12"/>
    </row>
    <row r="162" customFormat="false" ht="15" hidden="false" customHeight="false" outlineLevel="0" collapsed="false">
      <c r="A162" s="3"/>
      <c r="B162" s="3"/>
      <c r="C162" s="3"/>
      <c r="D162" s="12"/>
      <c r="E162" s="12"/>
      <c r="F162" s="12"/>
      <c r="G162" s="12"/>
      <c r="H162" s="12"/>
      <c r="I162" s="12"/>
      <c r="J162" s="12"/>
      <c r="K162" s="12"/>
    </row>
    <row r="163" customFormat="false" ht="15" hidden="false" customHeight="false" outlineLevel="0" collapsed="false">
      <c r="A163" s="3"/>
      <c r="B163" s="3"/>
      <c r="C163" s="3"/>
      <c r="D163" s="12"/>
      <c r="E163" s="12"/>
      <c r="F163" s="12"/>
      <c r="G163" s="12"/>
      <c r="H163" s="12"/>
      <c r="I163" s="12"/>
      <c r="J163" s="12"/>
      <c r="K163" s="12"/>
    </row>
    <row r="164" customFormat="false" ht="15" hidden="false" customHeight="false" outlineLevel="0" collapsed="false">
      <c r="A164" s="3"/>
      <c r="B164" s="3"/>
      <c r="C164" s="3"/>
      <c r="D164" s="12"/>
      <c r="E164" s="12"/>
      <c r="F164" s="12"/>
      <c r="G164" s="12"/>
      <c r="H164" s="12"/>
      <c r="I164" s="12"/>
      <c r="J164" s="12"/>
      <c r="K164" s="12"/>
    </row>
    <row r="165" customFormat="false" ht="15" hidden="false" customHeight="false" outlineLevel="0" collapsed="false">
      <c r="A165" s="3"/>
      <c r="B165" s="3"/>
      <c r="C165" s="3"/>
      <c r="D165" s="12"/>
      <c r="E165" s="12"/>
      <c r="F165" s="12"/>
      <c r="G165" s="12"/>
      <c r="H165" s="12"/>
      <c r="I165" s="12"/>
      <c r="J165" s="12"/>
      <c r="K165" s="12"/>
    </row>
    <row r="166" customFormat="false" ht="15" hidden="false" customHeight="false" outlineLevel="0" collapsed="false">
      <c r="A166" s="3"/>
      <c r="B166" s="3"/>
      <c r="C166" s="3"/>
      <c r="D166" s="12"/>
      <c r="E166" s="12"/>
      <c r="F166" s="12"/>
      <c r="G166" s="12"/>
      <c r="H166" s="12"/>
      <c r="I166" s="12"/>
      <c r="J166" s="12"/>
      <c r="K166" s="12"/>
    </row>
    <row r="167" customFormat="false" ht="15" hidden="false" customHeight="false" outlineLevel="0" collapsed="false">
      <c r="A167" s="3"/>
      <c r="B167" s="3"/>
      <c r="C167" s="3"/>
      <c r="D167" s="12"/>
      <c r="E167" s="12"/>
      <c r="F167" s="12"/>
      <c r="G167" s="12"/>
      <c r="H167" s="12"/>
      <c r="I167" s="12"/>
      <c r="J167" s="12"/>
      <c r="K167" s="12"/>
    </row>
    <row r="168" customFormat="false" ht="15" hidden="false" customHeight="false" outlineLevel="0" collapsed="false">
      <c r="A168" s="3"/>
      <c r="B168" s="3"/>
      <c r="C168" s="3"/>
      <c r="D168" s="12"/>
      <c r="E168" s="12"/>
      <c r="F168" s="12"/>
      <c r="G168" s="12"/>
      <c r="H168" s="12"/>
      <c r="I168" s="12"/>
      <c r="J168" s="12"/>
      <c r="K168" s="12"/>
    </row>
    <row r="169" customFormat="false" ht="15" hidden="false" customHeight="false" outlineLevel="0" collapsed="false">
      <c r="A169" s="3"/>
      <c r="B169" s="3"/>
      <c r="C169" s="3"/>
      <c r="D169" s="12"/>
      <c r="E169" s="12"/>
      <c r="F169" s="12"/>
      <c r="G169" s="12"/>
      <c r="H169" s="12"/>
      <c r="I169" s="12"/>
      <c r="J169" s="12"/>
      <c r="K169" s="12"/>
    </row>
    <row r="170" customFormat="false" ht="15" hidden="false" customHeight="false" outlineLevel="0" collapsed="false">
      <c r="A170" s="3"/>
      <c r="B170" s="3"/>
      <c r="C170" s="3"/>
      <c r="D170" s="12"/>
      <c r="E170" s="12"/>
      <c r="F170" s="12"/>
      <c r="G170" s="12"/>
      <c r="H170" s="12"/>
      <c r="I170" s="12"/>
      <c r="J170" s="12"/>
      <c r="K170" s="12"/>
    </row>
    <row r="171" customFormat="false" ht="15" hidden="false" customHeight="false" outlineLevel="0" collapsed="false">
      <c r="A171" s="3"/>
      <c r="B171" s="3"/>
      <c r="C171" s="3"/>
      <c r="D171" s="12"/>
      <c r="E171" s="12"/>
      <c r="F171" s="12"/>
      <c r="G171" s="12"/>
      <c r="H171" s="12"/>
      <c r="I171" s="12"/>
      <c r="J171" s="12"/>
      <c r="K171" s="12"/>
    </row>
    <row r="172" customFormat="false" ht="15" hidden="false" customHeight="false" outlineLevel="0" collapsed="false">
      <c r="A172" s="3"/>
      <c r="B172" s="3"/>
      <c r="C172" s="3"/>
      <c r="D172" s="12"/>
      <c r="E172" s="12"/>
      <c r="F172" s="12"/>
      <c r="G172" s="12"/>
      <c r="H172" s="12"/>
      <c r="I172" s="12"/>
      <c r="J172" s="12"/>
      <c r="K172" s="12"/>
    </row>
    <row r="173" customFormat="false" ht="15" hidden="false" customHeight="false" outlineLevel="0" collapsed="false">
      <c r="A173" s="3"/>
      <c r="B173" s="3"/>
      <c r="C173" s="3"/>
      <c r="D173" s="12"/>
      <c r="E173" s="12"/>
      <c r="F173" s="12"/>
      <c r="G173" s="12"/>
      <c r="H173" s="12"/>
      <c r="I173" s="12"/>
      <c r="J173" s="12"/>
      <c r="K173" s="12"/>
    </row>
    <row r="174" customFormat="false" ht="15" hidden="false" customHeight="false" outlineLevel="0" collapsed="false">
      <c r="A174" s="3"/>
      <c r="B174" s="3"/>
      <c r="C174" s="3"/>
      <c r="D174" s="12"/>
      <c r="E174" s="12"/>
      <c r="F174" s="12"/>
      <c r="G174" s="12"/>
      <c r="H174" s="12"/>
      <c r="I174" s="12"/>
      <c r="J174" s="12"/>
      <c r="K174" s="12"/>
    </row>
    <row r="175" customFormat="false" ht="15" hidden="false" customHeight="false" outlineLevel="0" collapsed="false">
      <c r="A175" s="3"/>
      <c r="B175" s="3"/>
      <c r="C175" s="3"/>
      <c r="D175" s="12"/>
      <c r="E175" s="12"/>
      <c r="F175" s="12"/>
      <c r="G175" s="12"/>
      <c r="H175" s="12"/>
      <c r="I175" s="12"/>
      <c r="J175" s="12"/>
      <c r="K175" s="12"/>
    </row>
    <row r="176" customFormat="false" ht="15" hidden="false" customHeight="false" outlineLevel="0" collapsed="false">
      <c r="A176" s="3"/>
      <c r="B176" s="3"/>
      <c r="C176" s="3"/>
      <c r="D176" s="12"/>
      <c r="E176" s="12"/>
      <c r="F176" s="12"/>
      <c r="G176" s="12"/>
      <c r="H176" s="12"/>
      <c r="I176" s="12"/>
      <c r="J176" s="12"/>
      <c r="K176" s="12"/>
    </row>
    <row r="177" customFormat="false" ht="15" hidden="false" customHeight="false" outlineLevel="0" collapsed="false">
      <c r="A177" s="3"/>
      <c r="B177" s="3"/>
      <c r="C177" s="3"/>
      <c r="D177" s="12"/>
      <c r="E177" s="12"/>
      <c r="F177" s="12"/>
      <c r="G177" s="12"/>
      <c r="H177" s="12"/>
      <c r="I177" s="12"/>
      <c r="J177" s="12"/>
      <c r="K177" s="12"/>
    </row>
    <row r="178" customFormat="false" ht="15" hidden="false" customHeight="false" outlineLevel="0" collapsed="false">
      <c r="A178" s="3"/>
      <c r="B178" s="3"/>
      <c r="C178" s="3"/>
      <c r="D178" s="12"/>
      <c r="E178" s="12"/>
      <c r="F178" s="12"/>
      <c r="G178" s="12"/>
      <c r="H178" s="12"/>
      <c r="I178" s="12"/>
      <c r="J178" s="12"/>
      <c r="K178" s="12"/>
    </row>
    <row r="179" customFormat="false" ht="15" hidden="false" customHeight="false" outlineLevel="0" collapsed="false">
      <c r="A179" s="3"/>
      <c r="B179" s="3"/>
      <c r="C179" s="3"/>
      <c r="D179" s="12"/>
      <c r="E179" s="12"/>
      <c r="F179" s="12"/>
      <c r="G179" s="12"/>
      <c r="H179" s="12"/>
      <c r="I179" s="12"/>
      <c r="J179" s="12"/>
      <c r="K179" s="12"/>
    </row>
    <row r="180" customFormat="false" ht="15" hidden="false" customHeight="false" outlineLevel="0" collapsed="false">
      <c r="A180" s="3"/>
      <c r="B180" s="3"/>
      <c r="C180" s="3"/>
      <c r="D180" s="12"/>
      <c r="E180" s="12"/>
      <c r="F180" s="12"/>
      <c r="G180" s="12"/>
      <c r="H180" s="12"/>
      <c r="I180" s="12"/>
      <c r="J180" s="12"/>
      <c r="K180" s="12"/>
    </row>
    <row r="181" customFormat="false" ht="15" hidden="false" customHeight="false" outlineLevel="0" collapsed="false">
      <c r="A181" s="3"/>
      <c r="B181" s="3"/>
      <c r="C181" s="3"/>
      <c r="D181" s="12"/>
      <c r="E181" s="12"/>
      <c r="F181" s="12"/>
      <c r="G181" s="12"/>
      <c r="H181" s="12"/>
      <c r="I181" s="12"/>
      <c r="J181" s="12"/>
      <c r="K181" s="12"/>
    </row>
    <row r="182" customFormat="false" ht="15" hidden="false" customHeight="false" outlineLevel="0" collapsed="false">
      <c r="A182" s="3"/>
      <c r="B182" s="3"/>
      <c r="C182" s="3"/>
      <c r="D182" s="12"/>
      <c r="E182" s="12"/>
      <c r="F182" s="12"/>
      <c r="G182" s="12"/>
      <c r="H182" s="12"/>
      <c r="I182" s="12"/>
      <c r="J182" s="12"/>
      <c r="K182" s="12"/>
    </row>
    <row r="183" customFormat="false" ht="15" hidden="false" customHeight="false" outlineLevel="0" collapsed="false">
      <c r="A183" s="3"/>
      <c r="B183" s="3"/>
      <c r="C183" s="3"/>
      <c r="D183" s="12"/>
      <c r="E183" s="12"/>
      <c r="F183" s="12"/>
      <c r="G183" s="12"/>
      <c r="H183" s="12"/>
      <c r="I183" s="12"/>
      <c r="J183" s="12"/>
      <c r="K183" s="12"/>
    </row>
    <row r="184" customFormat="false" ht="15" hidden="false" customHeight="false" outlineLevel="0" collapsed="false">
      <c r="A184" s="3"/>
      <c r="B184" s="3"/>
      <c r="C184" s="3"/>
      <c r="D184" s="12"/>
      <c r="E184" s="12"/>
      <c r="F184" s="12"/>
      <c r="G184" s="12"/>
      <c r="H184" s="12"/>
      <c r="I184" s="12"/>
      <c r="J184" s="12"/>
      <c r="K184" s="12"/>
    </row>
    <row r="185" customFormat="false" ht="15" hidden="false" customHeight="false" outlineLevel="0" collapsed="false">
      <c r="A185" s="3"/>
      <c r="B185" s="3"/>
      <c r="C185" s="3"/>
      <c r="D185" s="12"/>
      <c r="E185" s="12"/>
      <c r="F185" s="12"/>
      <c r="G185" s="12"/>
      <c r="H185" s="12"/>
      <c r="I185" s="12"/>
      <c r="J185" s="12"/>
      <c r="K185" s="12"/>
    </row>
    <row r="186" customFormat="false" ht="15" hidden="false" customHeight="false" outlineLevel="0" collapsed="false">
      <c r="A186" s="3"/>
      <c r="B186" s="3"/>
      <c r="C186" s="3"/>
      <c r="D186" s="12"/>
      <c r="E186" s="12"/>
      <c r="F186" s="12"/>
      <c r="G186" s="12"/>
      <c r="H186" s="12"/>
      <c r="I186" s="12"/>
      <c r="J186" s="12"/>
      <c r="K186" s="12"/>
    </row>
    <row r="187" customFormat="false" ht="15" hidden="false" customHeight="false" outlineLevel="0" collapsed="false">
      <c r="A187" s="3"/>
      <c r="B187" s="3"/>
      <c r="C187" s="3"/>
      <c r="D187" s="12"/>
      <c r="E187" s="12"/>
      <c r="F187" s="12"/>
      <c r="G187" s="12"/>
      <c r="H187" s="12"/>
      <c r="I187" s="12"/>
      <c r="J187" s="12"/>
      <c r="K187" s="12"/>
    </row>
    <row r="188" customFormat="false" ht="15" hidden="false" customHeight="false" outlineLevel="0" collapsed="false">
      <c r="A188" s="3"/>
      <c r="B188" s="3"/>
      <c r="C188" s="3"/>
      <c r="D188" s="12"/>
      <c r="E188" s="12"/>
      <c r="F188" s="12"/>
      <c r="G188" s="12"/>
      <c r="H188" s="12"/>
      <c r="I188" s="12"/>
      <c r="J188" s="12"/>
      <c r="K188" s="12"/>
    </row>
    <row r="189" customFormat="false" ht="15" hidden="false" customHeight="false" outlineLevel="0" collapsed="false">
      <c r="A189" s="3"/>
      <c r="B189" s="3"/>
      <c r="C189" s="3"/>
      <c r="D189" s="12"/>
      <c r="E189" s="12"/>
      <c r="F189" s="12"/>
      <c r="G189" s="12"/>
      <c r="H189" s="12"/>
      <c r="I189" s="12"/>
      <c r="J189" s="12"/>
      <c r="K189" s="12"/>
    </row>
    <row r="190" customFormat="false" ht="15" hidden="false" customHeight="false" outlineLevel="0" collapsed="false">
      <c r="A190" s="3"/>
      <c r="B190" s="3"/>
      <c r="C190" s="3"/>
      <c r="D190" s="12"/>
      <c r="E190" s="12"/>
      <c r="F190" s="12"/>
      <c r="G190" s="12"/>
      <c r="H190" s="12"/>
      <c r="I190" s="12"/>
      <c r="J190" s="12"/>
      <c r="K190" s="12"/>
    </row>
    <row r="191" customFormat="false" ht="15" hidden="false" customHeight="false" outlineLevel="0" collapsed="false">
      <c r="A191" s="3"/>
      <c r="B191" s="3"/>
      <c r="C191" s="3"/>
      <c r="D191" s="12"/>
      <c r="E191" s="12"/>
      <c r="F191" s="12"/>
      <c r="G191" s="12"/>
      <c r="H191" s="12"/>
      <c r="I191" s="12"/>
      <c r="J191" s="12"/>
      <c r="K191" s="12"/>
    </row>
    <row r="192" customFormat="false" ht="15" hidden="false" customHeight="false" outlineLevel="0" collapsed="false">
      <c r="A192" s="3"/>
      <c r="B192" s="3"/>
      <c r="C192" s="3"/>
      <c r="D192" s="12"/>
      <c r="E192" s="12"/>
      <c r="F192" s="12"/>
      <c r="G192" s="12"/>
      <c r="H192" s="12"/>
      <c r="I192" s="12"/>
      <c r="J192" s="12"/>
      <c r="K192" s="12"/>
    </row>
    <row r="193" customFormat="false" ht="15" hidden="false" customHeight="false" outlineLevel="0" collapsed="false">
      <c r="A193" s="3"/>
      <c r="B193" s="3"/>
      <c r="C193" s="3"/>
      <c r="D193" s="12"/>
      <c r="E193" s="12"/>
      <c r="F193" s="12"/>
      <c r="G193" s="12"/>
      <c r="H193" s="12"/>
      <c r="I193" s="12"/>
      <c r="J193" s="12"/>
      <c r="K193" s="12"/>
    </row>
    <row r="194" customFormat="false" ht="15" hidden="false" customHeight="false" outlineLevel="0" collapsed="false">
      <c r="A194" s="3"/>
      <c r="B194" s="3"/>
      <c r="C194" s="3"/>
      <c r="D194" s="12"/>
      <c r="E194" s="12"/>
      <c r="F194" s="12"/>
      <c r="G194" s="12"/>
      <c r="H194" s="12"/>
      <c r="I194" s="12"/>
      <c r="J194" s="12"/>
      <c r="K194" s="12"/>
    </row>
    <row r="195" customFormat="false" ht="15" hidden="false" customHeight="false" outlineLevel="0" collapsed="false">
      <c r="A195" s="3"/>
      <c r="B195" s="3"/>
      <c r="C195" s="3"/>
      <c r="D195" s="12"/>
      <c r="E195" s="12"/>
      <c r="F195" s="12"/>
      <c r="G195" s="12"/>
      <c r="H195" s="12"/>
      <c r="I195" s="12"/>
      <c r="J195" s="12"/>
      <c r="K195" s="12"/>
    </row>
    <row r="196" customFormat="false" ht="15" hidden="false" customHeight="false" outlineLevel="0" collapsed="false">
      <c r="A196" s="3"/>
      <c r="B196" s="3"/>
      <c r="C196" s="3"/>
      <c r="D196" s="12"/>
      <c r="E196" s="12"/>
      <c r="F196" s="12"/>
      <c r="G196" s="12"/>
      <c r="H196" s="12"/>
      <c r="I196" s="12"/>
      <c r="J196" s="12"/>
      <c r="K196" s="12"/>
    </row>
    <row r="197" customFormat="false" ht="15" hidden="false" customHeight="false" outlineLevel="0" collapsed="false">
      <c r="A197" s="3"/>
      <c r="B197" s="3"/>
      <c r="C197" s="3"/>
      <c r="D197" s="12"/>
      <c r="E197" s="12"/>
      <c r="F197" s="12"/>
      <c r="G197" s="12"/>
      <c r="H197" s="12"/>
      <c r="I197" s="12"/>
      <c r="J197" s="12"/>
      <c r="K197" s="12"/>
    </row>
    <row r="198" customFormat="false" ht="15" hidden="false" customHeight="false" outlineLevel="0" collapsed="false">
      <c r="A198" s="3"/>
      <c r="B198" s="3"/>
      <c r="C198" s="3"/>
      <c r="D198" s="12"/>
      <c r="E198" s="12"/>
      <c r="F198" s="12"/>
      <c r="G198" s="12"/>
      <c r="H198" s="12"/>
      <c r="I198" s="12"/>
      <c r="J198" s="12"/>
      <c r="K198" s="12"/>
    </row>
    <row r="199" customFormat="false" ht="15" hidden="false" customHeight="false" outlineLevel="0" collapsed="false">
      <c r="A199" s="3"/>
      <c r="B199" s="3"/>
      <c r="C199" s="3"/>
      <c r="D199" s="12"/>
      <c r="E199" s="12"/>
      <c r="F199" s="12"/>
      <c r="G199" s="12"/>
      <c r="H199" s="12"/>
      <c r="I199" s="12"/>
      <c r="J199" s="12"/>
      <c r="K199" s="12"/>
    </row>
    <row r="200" customFormat="false" ht="15" hidden="false" customHeight="false" outlineLevel="0" collapsed="false">
      <c r="A200" s="3"/>
      <c r="B200" s="3"/>
      <c r="C200" s="3"/>
      <c r="D200" s="12"/>
      <c r="E200" s="12"/>
      <c r="F200" s="12"/>
      <c r="G200" s="12"/>
      <c r="H200" s="12"/>
      <c r="I200" s="12"/>
      <c r="J200" s="12"/>
      <c r="K200" s="12"/>
    </row>
    <row r="201" customFormat="false" ht="15" hidden="false" customHeight="false" outlineLevel="0" collapsed="false">
      <c r="A201" s="3"/>
      <c r="B201" s="3"/>
      <c r="C201" s="3"/>
      <c r="D201" s="12"/>
      <c r="E201" s="12"/>
      <c r="F201" s="12"/>
      <c r="G201" s="12"/>
      <c r="H201" s="12"/>
      <c r="I201" s="12"/>
      <c r="J201" s="12"/>
      <c r="K201" s="12"/>
    </row>
    <row r="202" customFormat="false" ht="15" hidden="false" customHeight="false" outlineLevel="0" collapsed="false">
      <c r="A202" s="3"/>
      <c r="B202" s="3"/>
      <c r="C202" s="3"/>
      <c r="D202" s="12"/>
      <c r="E202" s="12"/>
      <c r="F202" s="12"/>
      <c r="G202" s="12"/>
      <c r="H202" s="12"/>
      <c r="I202" s="12"/>
      <c r="J202" s="12"/>
      <c r="K202" s="12"/>
    </row>
    <row r="203" customFormat="false" ht="15" hidden="false" customHeight="false" outlineLevel="0" collapsed="false">
      <c r="A203" s="3"/>
      <c r="B203" s="3"/>
      <c r="C203" s="3"/>
      <c r="D203" s="12"/>
      <c r="E203" s="12"/>
      <c r="F203" s="12"/>
      <c r="G203" s="12"/>
      <c r="H203" s="12"/>
      <c r="I203" s="12"/>
      <c r="J203" s="12"/>
      <c r="K203" s="12"/>
    </row>
    <row r="204" customFormat="false" ht="15" hidden="false" customHeight="false" outlineLevel="0" collapsed="false">
      <c r="A204" s="3"/>
      <c r="B204" s="3"/>
      <c r="C204" s="3"/>
      <c r="D204" s="12"/>
      <c r="E204" s="12"/>
      <c r="F204" s="12"/>
      <c r="G204" s="12"/>
      <c r="H204" s="12"/>
      <c r="I204" s="12"/>
      <c r="J204" s="12"/>
      <c r="K204" s="12"/>
    </row>
  </sheetData>
  <mergeCells count="1">
    <mergeCell ref="A2:K2"/>
  </mergeCells>
  <dataValidations count="3">
    <dataValidation allowBlank="true" errorStyle="stop" operator="between" showDropDown="false" showErrorMessage="false" showInputMessage="false" sqref="D5:D204" type="list">
      <formula1>Lists!$C$2:$C$6</formula1>
      <formula2>0</formula2>
    </dataValidation>
    <dataValidation allowBlank="true" errorStyle="stop" operator="between" showDropDown="false" showErrorMessage="false" showInputMessage="false" sqref="F5:F204" type="list">
      <formula1>Lists!$B$2:$B$7</formula1>
      <formula2>0</formula2>
    </dataValidation>
    <dataValidation allowBlank="true" errorStyle="stop" operator="between" showDropDown="false" showErrorMessage="false" showInputMessage="false" sqref="G5:G204" type="list">
      <formula1>Lists!$G$2:$G$6</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P1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52"/>
    <col collapsed="false" customWidth="true" hidden="false" outlineLevel="0" max="3" min="3" style="0" width="7"/>
    <col collapsed="false" customWidth="true" hidden="false" outlineLevel="0" max="4" min="4" style="0" width="14"/>
    <col collapsed="false" customWidth="true" hidden="false" outlineLevel="0" max="6" min="5" style="0" width="18"/>
    <col collapsed="false" customWidth="true" hidden="false" outlineLevel="0" max="8" min="7" style="0" width="28"/>
    <col collapsed="false" customWidth="true" hidden="false" outlineLevel="0" max="9" min="9" style="0" width="14"/>
    <col collapsed="false" customWidth="true" hidden="false" outlineLevel="0" max="36" min="10" style="0" width="7"/>
    <col collapsed="false" customWidth="true" hidden="false" outlineLevel="0" max="39" min="37" style="0" width="10"/>
    <col collapsed="false" customWidth="true" hidden="false" outlineLevel="0" max="40" min="40" style="0" width="16"/>
    <col collapsed="false" customWidth="true" hidden="false" outlineLevel="0" max="41" min="41" style="0" width="10"/>
    <col collapsed="false" customWidth="true" hidden="false" outlineLevel="0" max="42" min="42" style="0" width="46"/>
  </cols>
  <sheetData>
    <row r="1" customFormat="false" ht="17.35" hidden="false" customHeight="false" outlineLevel="0" collapsed="false">
      <c r="A1" s="1" t="s">
        <v>678</v>
      </c>
    </row>
    <row r="2" customFormat="false" ht="15" hidden="false" customHeight="false" outlineLevel="0" collapsed="false">
      <c r="A2" s="7" t="s">
        <v>679</v>
      </c>
    </row>
    <row r="3" customFormat="false" ht="15" hidden="false" customHeight="false" outlineLevel="0" collapsed="false">
      <c r="A3" s="7" t="s">
        <v>680</v>
      </c>
    </row>
    <row r="4" customFormat="false" ht="79.85" hidden="false" customHeight="false" outlineLevel="0" collapsed="false">
      <c r="A4" s="13" t="s">
        <v>681</v>
      </c>
      <c r="B4" s="14"/>
      <c r="C4" s="14"/>
      <c r="D4" s="14"/>
      <c r="E4" s="14"/>
      <c r="F4" s="14"/>
      <c r="G4" s="14"/>
      <c r="H4" s="14"/>
      <c r="I4" s="14"/>
      <c r="J4" s="13" t="s">
        <v>682</v>
      </c>
      <c r="K4" s="14"/>
      <c r="L4" s="14"/>
      <c r="M4" s="14"/>
      <c r="N4" s="14"/>
      <c r="O4" s="14"/>
      <c r="P4" s="14"/>
      <c r="Q4" s="14"/>
      <c r="R4" s="14"/>
      <c r="S4" s="13" t="s">
        <v>683</v>
      </c>
      <c r="T4" s="14"/>
      <c r="U4" s="14"/>
      <c r="V4" s="14"/>
      <c r="W4" s="14"/>
      <c r="X4" s="14"/>
      <c r="Y4" s="14"/>
      <c r="Z4" s="14"/>
      <c r="AA4" s="14"/>
      <c r="AB4" s="13" t="s">
        <v>684</v>
      </c>
      <c r="AC4" s="14"/>
      <c r="AD4" s="14"/>
      <c r="AE4" s="14"/>
      <c r="AF4" s="14"/>
      <c r="AG4" s="14"/>
      <c r="AH4" s="14"/>
      <c r="AI4" s="14"/>
      <c r="AJ4" s="14"/>
      <c r="AK4" s="13" t="s">
        <v>685</v>
      </c>
      <c r="AL4" s="14"/>
      <c r="AM4" s="14"/>
      <c r="AN4" s="14"/>
      <c r="AO4" s="14"/>
      <c r="AP4" s="13" t="s">
        <v>65</v>
      </c>
    </row>
    <row r="5" customFormat="false" ht="75" hidden="false" customHeight="true" outlineLevel="0" collapsed="false">
      <c r="A5" s="5" t="s">
        <v>607</v>
      </c>
      <c r="B5" s="5" t="s">
        <v>608</v>
      </c>
      <c r="C5" s="5" t="s">
        <v>59</v>
      </c>
      <c r="D5" s="5" t="s">
        <v>686</v>
      </c>
      <c r="E5" s="5" t="s">
        <v>687</v>
      </c>
      <c r="F5" s="5" t="s">
        <v>688</v>
      </c>
      <c r="G5" s="5" t="s">
        <v>26</v>
      </c>
      <c r="H5" s="5" t="s">
        <v>689</v>
      </c>
      <c r="I5" s="5" t="s">
        <v>690</v>
      </c>
      <c r="J5" s="5" t="s">
        <v>691</v>
      </c>
      <c r="K5" s="5" t="s">
        <v>692</v>
      </c>
      <c r="L5" s="5" t="s">
        <v>693</v>
      </c>
      <c r="M5" s="5" t="s">
        <v>694</v>
      </c>
      <c r="N5" s="5" t="s">
        <v>695</v>
      </c>
      <c r="O5" s="5" t="s">
        <v>696</v>
      </c>
      <c r="P5" s="5" t="s">
        <v>697</v>
      </c>
      <c r="Q5" s="5" t="s">
        <v>698</v>
      </c>
      <c r="R5" s="5" t="s">
        <v>699</v>
      </c>
      <c r="S5" s="5" t="s">
        <v>700</v>
      </c>
      <c r="T5" s="5" t="s">
        <v>701</v>
      </c>
      <c r="U5" s="5" t="s">
        <v>702</v>
      </c>
      <c r="V5" s="5" t="s">
        <v>703</v>
      </c>
      <c r="W5" s="5" t="s">
        <v>704</v>
      </c>
      <c r="X5" s="5" t="s">
        <v>705</v>
      </c>
      <c r="Y5" s="5" t="s">
        <v>706</v>
      </c>
      <c r="Z5" s="5" t="s">
        <v>707</v>
      </c>
      <c r="AA5" s="5" t="s">
        <v>708</v>
      </c>
      <c r="AB5" s="5" t="s">
        <v>709</v>
      </c>
      <c r="AC5" s="5" t="s">
        <v>710</v>
      </c>
      <c r="AD5" s="5" t="s">
        <v>711</v>
      </c>
      <c r="AE5" s="5" t="s">
        <v>712</v>
      </c>
      <c r="AF5" s="5" t="s">
        <v>713</v>
      </c>
      <c r="AG5" s="5" t="s">
        <v>714</v>
      </c>
      <c r="AH5" s="5" t="s">
        <v>715</v>
      </c>
      <c r="AI5" s="5" t="s">
        <v>716</v>
      </c>
      <c r="AJ5" s="5" t="s">
        <v>717</v>
      </c>
      <c r="AK5" s="5" t="s">
        <v>718</v>
      </c>
      <c r="AL5" s="5" t="s">
        <v>719</v>
      </c>
      <c r="AM5" s="5" t="s">
        <v>720</v>
      </c>
      <c r="AN5" s="5" t="s">
        <v>721</v>
      </c>
      <c r="AO5" s="5" t="s">
        <v>722</v>
      </c>
      <c r="AP5" s="5" t="s">
        <v>65</v>
      </c>
    </row>
    <row r="6" customFormat="false" ht="23.85" hidden="false" customHeight="false" outlineLevel="0" collapsed="false">
      <c r="A6" s="15" t="s">
        <v>68</v>
      </c>
      <c r="B6" s="3" t="s">
        <v>69</v>
      </c>
      <c r="C6" s="16" t="n">
        <v>2022</v>
      </c>
      <c r="D6" s="16" t="s">
        <v>70</v>
      </c>
      <c r="E6" s="12" t="s">
        <v>723</v>
      </c>
      <c r="F6" s="17" t="s">
        <v>724</v>
      </c>
      <c r="G6" s="17" t="s">
        <v>725</v>
      </c>
      <c r="H6" s="12"/>
      <c r="I6" s="17" t="s">
        <v>726</v>
      </c>
      <c r="J6" s="17"/>
      <c r="K6" s="17"/>
      <c r="L6" s="17"/>
      <c r="M6" s="17"/>
      <c r="N6" s="17"/>
      <c r="O6" s="17"/>
      <c r="P6" s="17"/>
      <c r="Q6" s="17"/>
      <c r="R6" s="17"/>
      <c r="S6" s="17"/>
      <c r="T6" s="17"/>
      <c r="U6" s="17"/>
      <c r="V6" s="17"/>
      <c r="W6" s="17"/>
      <c r="X6" s="17"/>
      <c r="Y6" s="17"/>
      <c r="Z6" s="17"/>
      <c r="AA6" s="17"/>
      <c r="AB6" s="9" t="str">
        <f aca="false">IF(J6="","",IF(S6="",J6,IF(J6=S6,J6,"DISCUSS")))</f>
        <v/>
      </c>
      <c r="AC6" s="9" t="str">
        <f aca="false">IF(K6="","",IF(T6="",K6,IF(K6=T6,K6,"DISCUSS")))</f>
        <v/>
      </c>
      <c r="AD6" s="9" t="str">
        <f aca="false">IF(L6="","",IF(U6="",L6,IF(L6=U6,L6,"DISCUSS")))</f>
        <v/>
      </c>
      <c r="AE6" s="9" t="str">
        <f aca="false">IF(M6="","",IF(V6="",M6,IF(M6=V6,M6,"DISCUSS")))</f>
        <v/>
      </c>
      <c r="AF6" s="9" t="str">
        <f aca="false">IF(N6="","",IF(W6="",N6,IF(N6=W6,N6,"DISCUSS")))</f>
        <v/>
      </c>
      <c r="AG6" s="9" t="str">
        <f aca="false">IF(O6="","",IF(X6="",O6,IF(O6=X6,O6,"DISCUSS")))</f>
        <v/>
      </c>
      <c r="AH6" s="9" t="str">
        <f aca="false">IF(P6="","",IF(Y6="",P6,IF(P6=Y6,P6,"DISCUSS")))</f>
        <v/>
      </c>
      <c r="AI6" s="9" t="str">
        <f aca="false">IF(Q6="","",IF(Z6="",Q6,IF(Q6=Z6,Q6,"DISCUSS")))</f>
        <v/>
      </c>
      <c r="AJ6" s="9" t="str">
        <f aca="false">IF(R6="","",IF(AA6="",R6,IF(R6=AA6,R6,"DISCUSS")))</f>
        <v/>
      </c>
      <c r="AK6" s="18" t="str">
        <f aca="false">IFERROR(AVERAGE(AB6:AJ6),"")</f>
        <v/>
      </c>
      <c r="AL6" s="9" t="n">
        <f aca="false">COUNT(AB6:AJ6)</f>
        <v>0</v>
      </c>
      <c r="AM6" s="9" t="n">
        <f aca="false">COUNTIF(AB6:AJ6,"DISCUSS")</f>
        <v>0</v>
      </c>
      <c r="AN6" s="9" t="str">
        <f aca="false">IF(AL6=0,"",IF(AM6&gt;0,"Resolve DISCUSS",IF(AL6&lt;Tiers!$B$6,"Unrated",IF(AK6&gt;=Tiers!$B$4,"High",IF(AK6&gt;=Tiers!$B$5,"Medium","Low")))))</f>
        <v/>
      </c>
      <c r="AO6" s="9" t="str">
        <f aca="false">IF(OR(AN6="",AN6="Unrated",AN6="Resolve DISCUSS"),"",COUNTIFS($AN$6:$AN$105,AN6,$AK$6:$AK$105,"&gt;"&amp;AK6)+1)</f>
        <v/>
      </c>
      <c r="AP6" s="12"/>
    </row>
    <row r="7" customFormat="false" ht="23.85" hidden="false" customHeight="false" outlineLevel="0" collapsed="false">
      <c r="A7" s="15" t="s">
        <v>75</v>
      </c>
      <c r="B7" s="3" t="s">
        <v>76</v>
      </c>
      <c r="C7" s="16" t="n">
        <v>2023</v>
      </c>
      <c r="D7" s="16" t="s">
        <v>70</v>
      </c>
      <c r="E7" s="12" t="s">
        <v>727</v>
      </c>
      <c r="F7" s="17" t="s">
        <v>724</v>
      </c>
      <c r="G7" s="17" t="s">
        <v>27</v>
      </c>
      <c r="H7" s="12"/>
      <c r="I7" s="17" t="s">
        <v>726</v>
      </c>
      <c r="J7" s="17"/>
      <c r="K7" s="17"/>
      <c r="L7" s="17"/>
      <c r="M7" s="17"/>
      <c r="N7" s="17"/>
      <c r="O7" s="17"/>
      <c r="P7" s="17"/>
      <c r="Q7" s="17"/>
      <c r="R7" s="17"/>
      <c r="S7" s="17"/>
      <c r="T7" s="17"/>
      <c r="U7" s="17"/>
      <c r="V7" s="17"/>
      <c r="W7" s="17"/>
      <c r="X7" s="17"/>
      <c r="Y7" s="17"/>
      <c r="Z7" s="17"/>
      <c r="AA7" s="17"/>
      <c r="AB7" s="9" t="str">
        <f aca="false">IF(J7="","",IF(S7="",J7,IF(J7=S7,J7,"DISCUSS")))</f>
        <v/>
      </c>
      <c r="AC7" s="9" t="str">
        <f aca="false">IF(K7="","",IF(T7="",K7,IF(K7=T7,K7,"DISCUSS")))</f>
        <v/>
      </c>
      <c r="AD7" s="9" t="str">
        <f aca="false">IF(L7="","",IF(U7="",L7,IF(L7=U7,L7,"DISCUSS")))</f>
        <v/>
      </c>
      <c r="AE7" s="9" t="str">
        <f aca="false">IF(M7="","",IF(V7="",M7,IF(M7=V7,M7,"DISCUSS")))</f>
        <v/>
      </c>
      <c r="AF7" s="9" t="str">
        <f aca="false">IF(N7="","",IF(W7="",N7,IF(N7=W7,N7,"DISCUSS")))</f>
        <v/>
      </c>
      <c r="AG7" s="9" t="str">
        <f aca="false">IF(O7="","",IF(X7="",O7,IF(O7=X7,O7,"DISCUSS")))</f>
        <v/>
      </c>
      <c r="AH7" s="9" t="str">
        <f aca="false">IF(P7="","",IF(Y7="",P7,IF(P7=Y7,P7,"DISCUSS")))</f>
        <v/>
      </c>
      <c r="AI7" s="9" t="str">
        <f aca="false">IF(Q7="","",IF(Z7="",Q7,IF(Q7=Z7,Q7,"DISCUSS")))</f>
        <v/>
      </c>
      <c r="AJ7" s="9" t="str">
        <f aca="false">IF(R7="","",IF(AA7="",R7,IF(R7=AA7,R7,"DISCUSS")))</f>
        <v/>
      </c>
      <c r="AK7" s="18" t="str">
        <f aca="false">IFERROR(AVERAGE(AB7:AJ7),"")</f>
        <v/>
      </c>
      <c r="AL7" s="9" t="n">
        <f aca="false">COUNT(AB7:AJ7)</f>
        <v>0</v>
      </c>
      <c r="AM7" s="9" t="n">
        <f aca="false">COUNTIF(AB7:AJ7,"DISCUSS")</f>
        <v>0</v>
      </c>
      <c r="AN7" s="9" t="str">
        <f aca="false">IF(AL7=0,"",IF(AM7&gt;0,"Resolve DISCUSS",IF(AL7&lt;Tiers!$B$6,"Unrated",IF(AK7&gt;=Tiers!$B$4,"High",IF(AK7&gt;=Tiers!$B$5,"Medium","Low")))))</f>
        <v/>
      </c>
      <c r="AO7" s="9" t="str">
        <f aca="false">IF(OR(AN7="",AN7="Unrated",AN7="Resolve DISCUSS"),"",COUNTIFS($AN$6:$AN$105,AN7,$AK$6:$AK$105,"&gt;"&amp;AK7)+1)</f>
        <v/>
      </c>
      <c r="AP7" s="12"/>
    </row>
    <row r="8" customFormat="false" ht="35.05" hidden="false" customHeight="false" outlineLevel="0" collapsed="false">
      <c r="A8" s="15" t="s">
        <v>79</v>
      </c>
      <c r="B8" s="3" t="s">
        <v>80</v>
      </c>
      <c r="C8" s="16" t="n">
        <v>2025</v>
      </c>
      <c r="D8" s="16" t="s">
        <v>70</v>
      </c>
      <c r="E8" s="12" t="s">
        <v>728</v>
      </c>
      <c r="F8" s="17" t="s">
        <v>724</v>
      </c>
      <c r="G8" s="17" t="s">
        <v>725</v>
      </c>
      <c r="H8" s="12"/>
      <c r="I8" s="17" t="s">
        <v>726</v>
      </c>
      <c r="J8" s="17"/>
      <c r="K8" s="17"/>
      <c r="L8" s="17"/>
      <c r="M8" s="17"/>
      <c r="N8" s="17"/>
      <c r="O8" s="17"/>
      <c r="P8" s="17"/>
      <c r="Q8" s="17"/>
      <c r="R8" s="17"/>
      <c r="S8" s="17"/>
      <c r="T8" s="17"/>
      <c r="U8" s="17"/>
      <c r="V8" s="17"/>
      <c r="W8" s="17"/>
      <c r="X8" s="17"/>
      <c r="Y8" s="17"/>
      <c r="Z8" s="17"/>
      <c r="AA8" s="17"/>
      <c r="AB8" s="9" t="str">
        <f aca="false">IF(J8="","",IF(S8="",J8,IF(J8=S8,J8,"DISCUSS")))</f>
        <v/>
      </c>
      <c r="AC8" s="9" t="str">
        <f aca="false">IF(K8="","",IF(T8="",K8,IF(K8=T8,K8,"DISCUSS")))</f>
        <v/>
      </c>
      <c r="AD8" s="9" t="str">
        <f aca="false">IF(L8="","",IF(U8="",L8,IF(L8=U8,L8,"DISCUSS")))</f>
        <v/>
      </c>
      <c r="AE8" s="9" t="str">
        <f aca="false">IF(M8="","",IF(V8="",M8,IF(M8=V8,M8,"DISCUSS")))</f>
        <v/>
      </c>
      <c r="AF8" s="9" t="str">
        <f aca="false">IF(N8="","",IF(W8="",N8,IF(N8=W8,N8,"DISCUSS")))</f>
        <v/>
      </c>
      <c r="AG8" s="9" t="str">
        <f aca="false">IF(O8="","",IF(X8="",O8,IF(O8=X8,O8,"DISCUSS")))</f>
        <v/>
      </c>
      <c r="AH8" s="9" t="str">
        <f aca="false">IF(P8="","",IF(Y8="",P8,IF(P8=Y8,P8,"DISCUSS")))</f>
        <v/>
      </c>
      <c r="AI8" s="9" t="str">
        <f aca="false">IF(Q8="","",IF(Z8="",Q8,IF(Q8=Z8,Q8,"DISCUSS")))</f>
        <v/>
      </c>
      <c r="AJ8" s="9" t="str">
        <f aca="false">IF(R8="","",IF(AA8="",R8,IF(R8=AA8,R8,"DISCUSS")))</f>
        <v/>
      </c>
      <c r="AK8" s="18" t="str">
        <f aca="false">IFERROR(AVERAGE(AB8:AJ8),"")</f>
        <v/>
      </c>
      <c r="AL8" s="9" t="n">
        <f aca="false">COUNT(AB8:AJ8)</f>
        <v>0</v>
      </c>
      <c r="AM8" s="9" t="n">
        <f aca="false">COUNTIF(AB8:AJ8,"DISCUSS")</f>
        <v>0</v>
      </c>
      <c r="AN8" s="9" t="str">
        <f aca="false">IF(AL8=0,"",IF(AM8&gt;0,"Resolve DISCUSS",IF(AL8&lt;Tiers!$B$6,"Unrated",IF(AK8&gt;=Tiers!$B$4,"High",IF(AK8&gt;=Tiers!$B$5,"Medium","Low")))))</f>
        <v/>
      </c>
      <c r="AO8" s="9" t="str">
        <f aca="false">IF(OR(AN8="",AN8="Unrated",AN8="Resolve DISCUSS"),"",COUNTIFS($AN$6:$AN$105,AN8,$AK$6:$AK$105,"&gt;"&amp;AK8)+1)</f>
        <v/>
      </c>
      <c r="AP8" s="12"/>
    </row>
    <row r="9" customFormat="false" ht="23.85" hidden="false" customHeight="false" outlineLevel="0" collapsed="false">
      <c r="A9" s="15" t="s">
        <v>82</v>
      </c>
      <c r="B9" s="3" t="s">
        <v>83</v>
      </c>
      <c r="C9" s="16" t="n">
        <v>2024</v>
      </c>
      <c r="D9" s="16" t="s">
        <v>70</v>
      </c>
      <c r="E9" s="12" t="s">
        <v>727</v>
      </c>
      <c r="F9" s="17" t="s">
        <v>724</v>
      </c>
      <c r="G9" s="17" t="s">
        <v>729</v>
      </c>
      <c r="H9" s="12"/>
      <c r="I9" s="17" t="s">
        <v>726</v>
      </c>
      <c r="J9" s="17"/>
      <c r="K9" s="17"/>
      <c r="L9" s="17"/>
      <c r="M9" s="17"/>
      <c r="N9" s="17"/>
      <c r="O9" s="17"/>
      <c r="P9" s="17"/>
      <c r="Q9" s="17"/>
      <c r="R9" s="17"/>
      <c r="S9" s="17"/>
      <c r="T9" s="17"/>
      <c r="U9" s="17"/>
      <c r="V9" s="17"/>
      <c r="W9" s="17"/>
      <c r="X9" s="17"/>
      <c r="Y9" s="17"/>
      <c r="Z9" s="17"/>
      <c r="AA9" s="17"/>
      <c r="AB9" s="9" t="str">
        <f aca="false">IF(J9="","",IF(S9="",J9,IF(J9=S9,J9,"DISCUSS")))</f>
        <v/>
      </c>
      <c r="AC9" s="9" t="str">
        <f aca="false">IF(K9="","",IF(T9="",K9,IF(K9=T9,K9,"DISCUSS")))</f>
        <v/>
      </c>
      <c r="AD9" s="9" t="str">
        <f aca="false">IF(L9="","",IF(U9="",L9,IF(L9=U9,L9,"DISCUSS")))</f>
        <v/>
      </c>
      <c r="AE9" s="9" t="str">
        <f aca="false">IF(M9="","",IF(V9="",M9,IF(M9=V9,M9,"DISCUSS")))</f>
        <v/>
      </c>
      <c r="AF9" s="9" t="str">
        <f aca="false">IF(N9="","",IF(W9="",N9,IF(N9=W9,N9,"DISCUSS")))</f>
        <v/>
      </c>
      <c r="AG9" s="9" t="str">
        <f aca="false">IF(O9="","",IF(X9="",O9,IF(O9=X9,O9,"DISCUSS")))</f>
        <v/>
      </c>
      <c r="AH9" s="9" t="str">
        <f aca="false">IF(P9="","",IF(Y9="",P9,IF(P9=Y9,P9,"DISCUSS")))</f>
        <v/>
      </c>
      <c r="AI9" s="9" t="str">
        <f aca="false">IF(Q9="","",IF(Z9="",Q9,IF(Q9=Z9,Q9,"DISCUSS")))</f>
        <v/>
      </c>
      <c r="AJ9" s="9" t="str">
        <f aca="false">IF(R9="","",IF(AA9="",R9,IF(R9=AA9,R9,"DISCUSS")))</f>
        <v/>
      </c>
      <c r="AK9" s="18" t="str">
        <f aca="false">IFERROR(AVERAGE(AB9:AJ9),"")</f>
        <v/>
      </c>
      <c r="AL9" s="9" t="n">
        <f aca="false">COUNT(AB9:AJ9)</f>
        <v>0</v>
      </c>
      <c r="AM9" s="9" t="n">
        <f aca="false">COUNTIF(AB9:AJ9,"DISCUSS")</f>
        <v>0</v>
      </c>
      <c r="AN9" s="9" t="str">
        <f aca="false">IF(AL9=0,"",IF(AM9&gt;0,"Resolve DISCUSS",IF(AL9&lt;Tiers!$B$6,"Unrated",IF(AK9&gt;=Tiers!$B$4,"High",IF(AK9&gt;=Tiers!$B$5,"Medium","Low")))))</f>
        <v/>
      </c>
      <c r="AO9" s="9" t="str">
        <f aca="false">IF(OR(AN9="",AN9="Unrated",AN9="Resolve DISCUSS"),"",COUNTIFS($AN$6:$AN$105,AN9,$AK$6:$AK$105,"&gt;"&amp;AK9)+1)</f>
        <v/>
      </c>
      <c r="AP9" s="12"/>
    </row>
    <row r="10" customFormat="false" ht="23.85" hidden="false" customHeight="false" outlineLevel="0" collapsed="false">
      <c r="A10" s="15" t="s">
        <v>116</v>
      </c>
      <c r="B10" s="3" t="s">
        <v>117</v>
      </c>
      <c r="C10" s="16" t="n">
        <v>2026</v>
      </c>
      <c r="D10" s="16" t="s">
        <v>70</v>
      </c>
      <c r="E10" s="12" t="s">
        <v>730</v>
      </c>
      <c r="F10" s="17" t="s">
        <v>118</v>
      </c>
      <c r="G10" s="17" t="s">
        <v>731</v>
      </c>
      <c r="H10" s="12"/>
      <c r="I10" s="17" t="s">
        <v>726</v>
      </c>
      <c r="J10" s="17"/>
      <c r="K10" s="17"/>
      <c r="L10" s="17"/>
      <c r="M10" s="17"/>
      <c r="N10" s="17"/>
      <c r="O10" s="17"/>
      <c r="P10" s="17"/>
      <c r="Q10" s="17"/>
      <c r="R10" s="17"/>
      <c r="S10" s="17"/>
      <c r="T10" s="17"/>
      <c r="U10" s="17"/>
      <c r="V10" s="17"/>
      <c r="W10" s="17"/>
      <c r="X10" s="17"/>
      <c r="Y10" s="17"/>
      <c r="Z10" s="17"/>
      <c r="AA10" s="17"/>
      <c r="AB10" s="9" t="str">
        <f aca="false">IF(J10="","",IF(S10="",J10,IF(J10=S10,J10,"DISCUSS")))</f>
        <v/>
      </c>
      <c r="AC10" s="9" t="str">
        <f aca="false">IF(K10="","",IF(T10="",K10,IF(K10=T10,K10,"DISCUSS")))</f>
        <v/>
      </c>
      <c r="AD10" s="9" t="str">
        <f aca="false">IF(L10="","",IF(U10="",L10,IF(L10=U10,L10,"DISCUSS")))</f>
        <v/>
      </c>
      <c r="AE10" s="9" t="str">
        <f aca="false">IF(M10="","",IF(V10="",M10,IF(M10=V10,M10,"DISCUSS")))</f>
        <v/>
      </c>
      <c r="AF10" s="9" t="str">
        <f aca="false">IF(N10="","",IF(W10="",N10,IF(N10=W10,N10,"DISCUSS")))</f>
        <v/>
      </c>
      <c r="AG10" s="9" t="str">
        <f aca="false">IF(O10="","",IF(X10="",O10,IF(O10=X10,O10,"DISCUSS")))</f>
        <v/>
      </c>
      <c r="AH10" s="9" t="str">
        <f aca="false">IF(P10="","",IF(Y10="",P10,IF(P10=Y10,P10,"DISCUSS")))</f>
        <v/>
      </c>
      <c r="AI10" s="9" t="str">
        <f aca="false">IF(Q10="","",IF(Z10="",Q10,IF(Q10=Z10,Q10,"DISCUSS")))</f>
        <v/>
      </c>
      <c r="AJ10" s="9" t="str">
        <f aca="false">IF(R10="","",IF(AA10="",R10,IF(R10=AA10,R10,"DISCUSS")))</f>
        <v/>
      </c>
      <c r="AK10" s="18" t="str">
        <f aca="false">IFERROR(AVERAGE(AB10:AJ10),"")</f>
        <v/>
      </c>
      <c r="AL10" s="9" t="n">
        <f aca="false">COUNT(AB10:AJ10)</f>
        <v>0</v>
      </c>
      <c r="AM10" s="9" t="n">
        <f aca="false">COUNTIF(AB10:AJ10,"DISCUSS")</f>
        <v>0</v>
      </c>
      <c r="AN10" s="9" t="str">
        <f aca="false">IF(AL10=0,"",IF(AM10&gt;0,"Resolve DISCUSS",IF(AL10&lt;Tiers!$B$6,"Unrated",IF(AK10&gt;=Tiers!$B$4,"High",IF(AK10&gt;=Tiers!$B$5,"Medium","Low")))))</f>
        <v/>
      </c>
      <c r="AO10" s="9" t="str">
        <f aca="false">IF(OR(AN10="",AN10="Unrated",AN10="Resolve DISCUSS"),"",COUNTIFS($AN$6:$AN$105,AN10,$AK$6:$AK$105,"&gt;"&amp;AK10)+1)</f>
        <v/>
      </c>
      <c r="AP10" s="12"/>
    </row>
    <row r="11" customFormat="false" ht="23.85" hidden="false" customHeight="false" outlineLevel="0" collapsed="false">
      <c r="A11" s="15" t="s">
        <v>147</v>
      </c>
      <c r="B11" s="3" t="s">
        <v>148</v>
      </c>
      <c r="C11" s="16" t="n">
        <v>2026</v>
      </c>
      <c r="D11" s="16" t="s">
        <v>70</v>
      </c>
      <c r="E11" s="12" t="s">
        <v>730</v>
      </c>
      <c r="F11" s="17" t="s">
        <v>118</v>
      </c>
      <c r="G11" s="17" t="s">
        <v>731</v>
      </c>
      <c r="H11" s="12"/>
      <c r="I11" s="17" t="s">
        <v>726</v>
      </c>
      <c r="J11" s="17"/>
      <c r="K11" s="17"/>
      <c r="L11" s="17"/>
      <c r="M11" s="17"/>
      <c r="N11" s="17"/>
      <c r="O11" s="17"/>
      <c r="P11" s="17"/>
      <c r="Q11" s="17"/>
      <c r="R11" s="17"/>
      <c r="S11" s="17"/>
      <c r="T11" s="17"/>
      <c r="U11" s="17"/>
      <c r="V11" s="17"/>
      <c r="W11" s="17"/>
      <c r="X11" s="17"/>
      <c r="Y11" s="17"/>
      <c r="Z11" s="17"/>
      <c r="AA11" s="17"/>
      <c r="AB11" s="9" t="str">
        <f aca="false">IF(J11="","",IF(S11="",J11,IF(J11=S11,J11,"DISCUSS")))</f>
        <v/>
      </c>
      <c r="AC11" s="9" t="str">
        <f aca="false">IF(K11="","",IF(T11="",K11,IF(K11=T11,K11,"DISCUSS")))</f>
        <v/>
      </c>
      <c r="AD11" s="9" t="str">
        <f aca="false">IF(L11="","",IF(U11="",L11,IF(L11=U11,L11,"DISCUSS")))</f>
        <v/>
      </c>
      <c r="AE11" s="9" t="str">
        <f aca="false">IF(M11="","",IF(V11="",M11,IF(M11=V11,M11,"DISCUSS")))</f>
        <v/>
      </c>
      <c r="AF11" s="9" t="str">
        <f aca="false">IF(N11="","",IF(W11="",N11,IF(N11=W11,N11,"DISCUSS")))</f>
        <v/>
      </c>
      <c r="AG11" s="9" t="str">
        <f aca="false">IF(O11="","",IF(X11="",O11,IF(O11=X11,O11,"DISCUSS")))</f>
        <v/>
      </c>
      <c r="AH11" s="9" t="str">
        <f aca="false">IF(P11="","",IF(Y11="",P11,IF(P11=Y11,P11,"DISCUSS")))</f>
        <v/>
      </c>
      <c r="AI11" s="9" t="str">
        <f aca="false">IF(Q11="","",IF(Z11="",Q11,IF(Q11=Z11,Q11,"DISCUSS")))</f>
        <v/>
      </c>
      <c r="AJ11" s="9" t="str">
        <f aca="false">IF(R11="","",IF(AA11="",R11,IF(R11=AA11,R11,"DISCUSS")))</f>
        <v/>
      </c>
      <c r="AK11" s="18" t="str">
        <f aca="false">IFERROR(AVERAGE(AB11:AJ11),"")</f>
        <v/>
      </c>
      <c r="AL11" s="9" t="n">
        <f aca="false">COUNT(AB11:AJ11)</f>
        <v>0</v>
      </c>
      <c r="AM11" s="9" t="n">
        <f aca="false">COUNTIF(AB11:AJ11,"DISCUSS")</f>
        <v>0</v>
      </c>
      <c r="AN11" s="9" t="str">
        <f aca="false">IF(AL11=0,"",IF(AM11&gt;0,"Resolve DISCUSS",IF(AL11&lt;Tiers!$B$6,"Unrated",IF(AK11&gt;=Tiers!$B$4,"High",IF(AK11&gt;=Tiers!$B$5,"Medium","Low")))))</f>
        <v/>
      </c>
      <c r="AO11" s="9" t="str">
        <f aca="false">IF(OR(AN11="",AN11="Unrated",AN11="Resolve DISCUSS"),"",COUNTIFS($AN$6:$AN$105,AN11,$AK$6:$AK$105,"&gt;"&amp;AK11)+1)</f>
        <v/>
      </c>
      <c r="AP11" s="12"/>
    </row>
    <row r="12" customFormat="false" ht="15" hidden="false" customHeight="false" outlineLevel="0" collapsed="false">
      <c r="A12" s="15" t="s">
        <v>149</v>
      </c>
      <c r="B12" s="3" t="s">
        <v>150</v>
      </c>
      <c r="C12" s="16" t="n">
        <v>2026</v>
      </c>
      <c r="D12" s="16" t="s">
        <v>70</v>
      </c>
      <c r="E12" s="12" t="s">
        <v>723</v>
      </c>
      <c r="F12" s="17" t="s">
        <v>724</v>
      </c>
      <c r="G12" s="17" t="s">
        <v>731</v>
      </c>
      <c r="H12" s="12"/>
      <c r="I12" s="17" t="s">
        <v>726</v>
      </c>
      <c r="J12" s="17"/>
      <c r="K12" s="17"/>
      <c r="L12" s="17"/>
      <c r="M12" s="17"/>
      <c r="N12" s="17"/>
      <c r="O12" s="17"/>
      <c r="P12" s="17"/>
      <c r="Q12" s="17"/>
      <c r="R12" s="17"/>
      <c r="S12" s="17"/>
      <c r="T12" s="17"/>
      <c r="U12" s="17"/>
      <c r="V12" s="17"/>
      <c r="W12" s="17"/>
      <c r="X12" s="17"/>
      <c r="Y12" s="17"/>
      <c r="Z12" s="17"/>
      <c r="AA12" s="17"/>
      <c r="AB12" s="9" t="str">
        <f aca="false">IF(J12="","",IF(S12="",J12,IF(J12=S12,J12,"DISCUSS")))</f>
        <v/>
      </c>
      <c r="AC12" s="9" t="str">
        <f aca="false">IF(K12="","",IF(T12="",K12,IF(K12=T12,K12,"DISCUSS")))</f>
        <v/>
      </c>
      <c r="AD12" s="9" t="str">
        <f aca="false">IF(L12="","",IF(U12="",L12,IF(L12=U12,L12,"DISCUSS")))</f>
        <v/>
      </c>
      <c r="AE12" s="9" t="str">
        <f aca="false">IF(M12="","",IF(V12="",M12,IF(M12=V12,M12,"DISCUSS")))</f>
        <v/>
      </c>
      <c r="AF12" s="9" t="str">
        <f aca="false">IF(N12="","",IF(W12="",N12,IF(N12=W12,N12,"DISCUSS")))</f>
        <v/>
      </c>
      <c r="AG12" s="9" t="str">
        <f aca="false">IF(O12="","",IF(X12="",O12,IF(O12=X12,O12,"DISCUSS")))</f>
        <v/>
      </c>
      <c r="AH12" s="9" t="str">
        <f aca="false">IF(P12="","",IF(Y12="",P12,IF(P12=Y12,P12,"DISCUSS")))</f>
        <v/>
      </c>
      <c r="AI12" s="9" t="str">
        <f aca="false">IF(Q12="","",IF(Z12="",Q12,IF(Q12=Z12,Q12,"DISCUSS")))</f>
        <v/>
      </c>
      <c r="AJ12" s="9" t="str">
        <f aca="false">IF(R12="","",IF(AA12="",R12,IF(R12=AA12,R12,"DISCUSS")))</f>
        <v/>
      </c>
      <c r="AK12" s="18" t="str">
        <f aca="false">IFERROR(AVERAGE(AB12:AJ12),"")</f>
        <v/>
      </c>
      <c r="AL12" s="9" t="n">
        <f aca="false">COUNT(AB12:AJ12)</f>
        <v>0</v>
      </c>
      <c r="AM12" s="9" t="n">
        <f aca="false">COUNTIF(AB12:AJ12,"DISCUSS")</f>
        <v>0</v>
      </c>
      <c r="AN12" s="9" t="str">
        <f aca="false">IF(AL12=0,"",IF(AM12&gt;0,"Resolve DISCUSS",IF(AL12&lt;Tiers!$B$6,"Unrated",IF(AK12&gt;=Tiers!$B$4,"High",IF(AK12&gt;=Tiers!$B$5,"Medium","Low")))))</f>
        <v/>
      </c>
      <c r="AO12" s="9" t="str">
        <f aca="false">IF(OR(AN12="",AN12="Unrated",AN12="Resolve DISCUSS"),"",COUNTIFS($AN$6:$AN$105,AN12,$AK$6:$AK$105,"&gt;"&amp;AK12)+1)</f>
        <v/>
      </c>
      <c r="AP12" s="12"/>
    </row>
    <row r="13" customFormat="false" ht="23.85" hidden="false" customHeight="false" outlineLevel="0" collapsed="false">
      <c r="A13" s="15" t="s">
        <v>200</v>
      </c>
      <c r="B13" s="3" t="s">
        <v>201</v>
      </c>
      <c r="C13" s="16" t="n">
        <v>2025</v>
      </c>
      <c r="D13" s="16" t="s">
        <v>70</v>
      </c>
      <c r="E13" s="12" t="s">
        <v>723</v>
      </c>
      <c r="F13" s="17" t="s">
        <v>724</v>
      </c>
      <c r="G13" s="17" t="s">
        <v>731</v>
      </c>
      <c r="H13" s="12"/>
      <c r="I13" s="17" t="s">
        <v>726</v>
      </c>
      <c r="J13" s="17"/>
      <c r="K13" s="17"/>
      <c r="L13" s="17"/>
      <c r="M13" s="17"/>
      <c r="N13" s="17"/>
      <c r="O13" s="17"/>
      <c r="P13" s="17"/>
      <c r="Q13" s="17"/>
      <c r="R13" s="17"/>
      <c r="S13" s="17"/>
      <c r="T13" s="17"/>
      <c r="U13" s="17"/>
      <c r="V13" s="17"/>
      <c r="W13" s="17"/>
      <c r="X13" s="17"/>
      <c r="Y13" s="17"/>
      <c r="Z13" s="17"/>
      <c r="AA13" s="17"/>
      <c r="AB13" s="9" t="str">
        <f aca="false">IF(J13="","",IF(S13="",J13,IF(J13=S13,J13,"DISCUSS")))</f>
        <v/>
      </c>
      <c r="AC13" s="9" t="str">
        <f aca="false">IF(K13="","",IF(T13="",K13,IF(K13=T13,K13,"DISCUSS")))</f>
        <v/>
      </c>
      <c r="AD13" s="9" t="str">
        <f aca="false">IF(L13="","",IF(U13="",L13,IF(L13=U13,L13,"DISCUSS")))</f>
        <v/>
      </c>
      <c r="AE13" s="9" t="str">
        <f aca="false">IF(M13="","",IF(V13="",M13,IF(M13=V13,M13,"DISCUSS")))</f>
        <v/>
      </c>
      <c r="AF13" s="9" t="str">
        <f aca="false">IF(N13="","",IF(W13="",N13,IF(N13=W13,N13,"DISCUSS")))</f>
        <v/>
      </c>
      <c r="AG13" s="9" t="str">
        <f aca="false">IF(O13="","",IF(X13="",O13,IF(O13=X13,O13,"DISCUSS")))</f>
        <v/>
      </c>
      <c r="AH13" s="9" t="str">
        <f aca="false">IF(P13="","",IF(Y13="",P13,IF(P13=Y13,P13,"DISCUSS")))</f>
        <v/>
      </c>
      <c r="AI13" s="9" t="str">
        <f aca="false">IF(Q13="","",IF(Z13="",Q13,IF(Q13=Z13,Q13,"DISCUSS")))</f>
        <v/>
      </c>
      <c r="AJ13" s="9" t="str">
        <f aca="false">IF(R13="","",IF(AA13="",R13,IF(R13=AA13,R13,"DISCUSS")))</f>
        <v/>
      </c>
      <c r="AK13" s="18" t="str">
        <f aca="false">IFERROR(AVERAGE(AB13:AJ13),"")</f>
        <v/>
      </c>
      <c r="AL13" s="9" t="n">
        <f aca="false">COUNT(AB13:AJ13)</f>
        <v>0</v>
      </c>
      <c r="AM13" s="9" t="n">
        <f aca="false">COUNTIF(AB13:AJ13,"DISCUSS")</f>
        <v>0</v>
      </c>
      <c r="AN13" s="9" t="str">
        <f aca="false">IF(AL13=0,"",IF(AM13&gt;0,"Resolve DISCUSS",IF(AL13&lt;Tiers!$B$6,"Unrated",IF(AK13&gt;=Tiers!$B$4,"High",IF(AK13&gt;=Tiers!$B$5,"Medium","Low")))))</f>
        <v/>
      </c>
      <c r="AO13" s="9" t="str">
        <f aca="false">IF(OR(AN13="",AN13="Unrated",AN13="Resolve DISCUSS"),"",COUNTIFS($AN$6:$AN$105,AN13,$AK$6:$AK$105,"&gt;"&amp;AK13)+1)</f>
        <v/>
      </c>
      <c r="AP13" s="12"/>
    </row>
    <row r="14" customFormat="false" ht="23.85" hidden="false" customHeight="false" outlineLevel="0" collapsed="false">
      <c r="A14" s="15" t="s">
        <v>204</v>
      </c>
      <c r="B14" s="3" t="s">
        <v>205</v>
      </c>
      <c r="C14" s="16" t="n">
        <v>2025</v>
      </c>
      <c r="D14" s="16" t="s">
        <v>70</v>
      </c>
      <c r="E14" s="12" t="s">
        <v>730</v>
      </c>
      <c r="F14" s="17" t="s">
        <v>724</v>
      </c>
      <c r="G14" s="17" t="s">
        <v>731</v>
      </c>
      <c r="H14" s="12"/>
      <c r="I14" s="17" t="s">
        <v>726</v>
      </c>
      <c r="J14" s="17"/>
      <c r="K14" s="17"/>
      <c r="L14" s="17"/>
      <c r="M14" s="17"/>
      <c r="N14" s="17"/>
      <c r="O14" s="17"/>
      <c r="P14" s="17"/>
      <c r="Q14" s="17"/>
      <c r="R14" s="17"/>
      <c r="S14" s="17"/>
      <c r="T14" s="17"/>
      <c r="U14" s="17"/>
      <c r="V14" s="17"/>
      <c r="W14" s="17"/>
      <c r="X14" s="17"/>
      <c r="Y14" s="17"/>
      <c r="Z14" s="17"/>
      <c r="AA14" s="17"/>
      <c r="AB14" s="9" t="str">
        <f aca="false">IF(J14="","",IF(S14="",J14,IF(J14=S14,J14,"DISCUSS")))</f>
        <v/>
      </c>
      <c r="AC14" s="9" t="str">
        <f aca="false">IF(K14="","",IF(T14="",K14,IF(K14=T14,K14,"DISCUSS")))</f>
        <v/>
      </c>
      <c r="AD14" s="9" t="str">
        <f aca="false">IF(L14="","",IF(U14="",L14,IF(L14=U14,L14,"DISCUSS")))</f>
        <v/>
      </c>
      <c r="AE14" s="9" t="str">
        <f aca="false">IF(M14="","",IF(V14="",M14,IF(M14=V14,M14,"DISCUSS")))</f>
        <v/>
      </c>
      <c r="AF14" s="9" t="str">
        <f aca="false">IF(N14="","",IF(W14="",N14,IF(N14=W14,N14,"DISCUSS")))</f>
        <v/>
      </c>
      <c r="AG14" s="9" t="str">
        <f aca="false">IF(O14="","",IF(X14="",O14,IF(O14=X14,O14,"DISCUSS")))</f>
        <v/>
      </c>
      <c r="AH14" s="9" t="str">
        <f aca="false">IF(P14="","",IF(Y14="",P14,IF(P14=Y14,P14,"DISCUSS")))</f>
        <v/>
      </c>
      <c r="AI14" s="9" t="str">
        <f aca="false">IF(Q14="","",IF(Z14="",Q14,IF(Q14=Z14,Q14,"DISCUSS")))</f>
        <v/>
      </c>
      <c r="AJ14" s="9" t="str">
        <f aca="false">IF(R14="","",IF(AA14="",R14,IF(R14=AA14,R14,"DISCUSS")))</f>
        <v/>
      </c>
      <c r="AK14" s="18" t="str">
        <f aca="false">IFERROR(AVERAGE(AB14:AJ14),"")</f>
        <v/>
      </c>
      <c r="AL14" s="9" t="n">
        <f aca="false">COUNT(AB14:AJ14)</f>
        <v>0</v>
      </c>
      <c r="AM14" s="9" t="n">
        <f aca="false">COUNTIF(AB14:AJ14,"DISCUSS")</f>
        <v>0</v>
      </c>
      <c r="AN14" s="9" t="str">
        <f aca="false">IF(AL14=0,"",IF(AM14&gt;0,"Resolve DISCUSS",IF(AL14&lt;Tiers!$B$6,"Unrated",IF(AK14&gt;=Tiers!$B$4,"High",IF(AK14&gt;=Tiers!$B$5,"Medium","Low")))))</f>
        <v/>
      </c>
      <c r="AO14" s="9" t="str">
        <f aca="false">IF(OR(AN14="",AN14="Unrated",AN14="Resolve DISCUSS"),"",COUNTIFS($AN$6:$AN$105,AN14,$AK$6:$AK$105,"&gt;"&amp;AK14)+1)</f>
        <v/>
      </c>
      <c r="AP14" s="12"/>
    </row>
    <row r="15" customFormat="false" ht="23.85" hidden="false" customHeight="false" outlineLevel="0" collapsed="false">
      <c r="A15" s="15" t="s">
        <v>212</v>
      </c>
      <c r="B15" s="3" t="s">
        <v>213</v>
      </c>
      <c r="C15" s="16" t="n">
        <v>2026</v>
      </c>
      <c r="D15" s="16" t="s">
        <v>70</v>
      </c>
      <c r="E15" s="12" t="s">
        <v>727</v>
      </c>
      <c r="F15" s="17" t="s">
        <v>118</v>
      </c>
      <c r="G15" s="17" t="s">
        <v>731</v>
      </c>
      <c r="H15" s="12"/>
      <c r="I15" s="17" t="s">
        <v>726</v>
      </c>
      <c r="J15" s="17"/>
      <c r="K15" s="17"/>
      <c r="L15" s="17"/>
      <c r="M15" s="17"/>
      <c r="N15" s="17"/>
      <c r="O15" s="17"/>
      <c r="P15" s="17"/>
      <c r="Q15" s="17"/>
      <c r="R15" s="17"/>
      <c r="S15" s="17"/>
      <c r="T15" s="17"/>
      <c r="U15" s="17"/>
      <c r="V15" s="17"/>
      <c r="W15" s="17"/>
      <c r="X15" s="17"/>
      <c r="Y15" s="17"/>
      <c r="Z15" s="17"/>
      <c r="AA15" s="17"/>
      <c r="AB15" s="9" t="str">
        <f aca="false">IF(J15="","",IF(S15="",J15,IF(J15=S15,J15,"DISCUSS")))</f>
        <v/>
      </c>
      <c r="AC15" s="9" t="str">
        <f aca="false">IF(K15="","",IF(T15="",K15,IF(K15=T15,K15,"DISCUSS")))</f>
        <v/>
      </c>
      <c r="AD15" s="9" t="str">
        <f aca="false">IF(L15="","",IF(U15="",L15,IF(L15=U15,L15,"DISCUSS")))</f>
        <v/>
      </c>
      <c r="AE15" s="9" t="str">
        <f aca="false">IF(M15="","",IF(V15="",M15,IF(M15=V15,M15,"DISCUSS")))</f>
        <v/>
      </c>
      <c r="AF15" s="9" t="str">
        <f aca="false">IF(N15="","",IF(W15="",N15,IF(N15=W15,N15,"DISCUSS")))</f>
        <v/>
      </c>
      <c r="AG15" s="9" t="str">
        <f aca="false">IF(O15="","",IF(X15="",O15,IF(O15=X15,O15,"DISCUSS")))</f>
        <v/>
      </c>
      <c r="AH15" s="9" t="str">
        <f aca="false">IF(P15="","",IF(Y15="",P15,IF(P15=Y15,P15,"DISCUSS")))</f>
        <v/>
      </c>
      <c r="AI15" s="9" t="str">
        <f aca="false">IF(Q15="","",IF(Z15="",Q15,IF(Q15=Z15,Q15,"DISCUSS")))</f>
        <v/>
      </c>
      <c r="AJ15" s="9" t="str">
        <f aca="false">IF(R15="","",IF(AA15="",R15,IF(R15=AA15,R15,"DISCUSS")))</f>
        <v/>
      </c>
      <c r="AK15" s="18" t="str">
        <f aca="false">IFERROR(AVERAGE(AB15:AJ15),"")</f>
        <v/>
      </c>
      <c r="AL15" s="9" t="n">
        <f aca="false">COUNT(AB15:AJ15)</f>
        <v>0</v>
      </c>
      <c r="AM15" s="9" t="n">
        <f aca="false">COUNTIF(AB15:AJ15,"DISCUSS")</f>
        <v>0</v>
      </c>
      <c r="AN15" s="9" t="str">
        <f aca="false">IF(AL15=0,"",IF(AM15&gt;0,"Resolve DISCUSS",IF(AL15&lt;Tiers!$B$6,"Unrated",IF(AK15&gt;=Tiers!$B$4,"High",IF(AK15&gt;=Tiers!$B$5,"Medium","Low")))))</f>
        <v/>
      </c>
      <c r="AO15" s="9" t="str">
        <f aca="false">IF(OR(AN15="",AN15="Unrated",AN15="Resolve DISCUSS"),"",COUNTIFS($AN$6:$AN$105,AN15,$AK$6:$AK$105,"&gt;"&amp;AK15)+1)</f>
        <v/>
      </c>
      <c r="AP15" s="12"/>
    </row>
    <row r="16" customFormat="false" ht="23.85" hidden="false" customHeight="false" outlineLevel="0" collapsed="false">
      <c r="A16" s="15" t="s">
        <v>215</v>
      </c>
      <c r="B16" s="3" t="s">
        <v>216</v>
      </c>
      <c r="C16" s="16" t="n">
        <v>2026</v>
      </c>
      <c r="D16" s="16" t="s">
        <v>70</v>
      </c>
      <c r="E16" s="12" t="s">
        <v>730</v>
      </c>
      <c r="F16" s="17" t="s">
        <v>118</v>
      </c>
      <c r="G16" s="17" t="s">
        <v>731</v>
      </c>
      <c r="H16" s="12"/>
      <c r="I16" s="17" t="s">
        <v>726</v>
      </c>
      <c r="J16" s="17"/>
      <c r="K16" s="17"/>
      <c r="L16" s="17"/>
      <c r="M16" s="17"/>
      <c r="N16" s="17"/>
      <c r="O16" s="17"/>
      <c r="P16" s="17"/>
      <c r="Q16" s="17"/>
      <c r="R16" s="17"/>
      <c r="S16" s="17"/>
      <c r="T16" s="17"/>
      <c r="U16" s="17"/>
      <c r="V16" s="17"/>
      <c r="W16" s="17"/>
      <c r="X16" s="17"/>
      <c r="Y16" s="17"/>
      <c r="Z16" s="17"/>
      <c r="AA16" s="17"/>
      <c r="AB16" s="9" t="str">
        <f aca="false">IF(J16="","",IF(S16="",J16,IF(J16=S16,J16,"DISCUSS")))</f>
        <v/>
      </c>
      <c r="AC16" s="9" t="str">
        <f aca="false">IF(K16="","",IF(T16="",K16,IF(K16=T16,K16,"DISCUSS")))</f>
        <v/>
      </c>
      <c r="AD16" s="9" t="str">
        <f aca="false">IF(L16="","",IF(U16="",L16,IF(L16=U16,L16,"DISCUSS")))</f>
        <v/>
      </c>
      <c r="AE16" s="9" t="str">
        <f aca="false">IF(M16="","",IF(V16="",M16,IF(M16=V16,M16,"DISCUSS")))</f>
        <v/>
      </c>
      <c r="AF16" s="9" t="str">
        <f aca="false">IF(N16="","",IF(W16="",N16,IF(N16=W16,N16,"DISCUSS")))</f>
        <v/>
      </c>
      <c r="AG16" s="9" t="str">
        <f aca="false">IF(O16="","",IF(X16="",O16,IF(O16=X16,O16,"DISCUSS")))</f>
        <v/>
      </c>
      <c r="AH16" s="9" t="str">
        <f aca="false">IF(P16="","",IF(Y16="",P16,IF(P16=Y16,P16,"DISCUSS")))</f>
        <v/>
      </c>
      <c r="AI16" s="9" t="str">
        <f aca="false">IF(Q16="","",IF(Z16="",Q16,IF(Q16=Z16,Q16,"DISCUSS")))</f>
        <v/>
      </c>
      <c r="AJ16" s="9" t="str">
        <f aca="false">IF(R16="","",IF(AA16="",R16,IF(R16=AA16,R16,"DISCUSS")))</f>
        <v/>
      </c>
      <c r="AK16" s="18" t="str">
        <f aca="false">IFERROR(AVERAGE(AB16:AJ16),"")</f>
        <v/>
      </c>
      <c r="AL16" s="9" t="n">
        <f aca="false">COUNT(AB16:AJ16)</f>
        <v>0</v>
      </c>
      <c r="AM16" s="9" t="n">
        <f aca="false">COUNTIF(AB16:AJ16,"DISCUSS")</f>
        <v>0</v>
      </c>
      <c r="AN16" s="9" t="str">
        <f aca="false">IF(AL16=0,"",IF(AM16&gt;0,"Resolve DISCUSS",IF(AL16&lt;Tiers!$B$6,"Unrated",IF(AK16&gt;=Tiers!$B$4,"High",IF(AK16&gt;=Tiers!$B$5,"Medium","Low")))))</f>
        <v/>
      </c>
      <c r="AO16" s="9" t="str">
        <f aca="false">IF(OR(AN16="",AN16="Unrated",AN16="Resolve DISCUSS"),"",COUNTIFS($AN$6:$AN$105,AN16,$AK$6:$AK$105,"&gt;"&amp;AK16)+1)</f>
        <v/>
      </c>
      <c r="AP16" s="12"/>
    </row>
    <row r="17" customFormat="false" ht="23.85" hidden="false" customHeight="false" outlineLevel="0" collapsed="false">
      <c r="A17" s="15" t="s">
        <v>217</v>
      </c>
      <c r="B17" s="3" t="s">
        <v>218</v>
      </c>
      <c r="C17" s="16" t="n">
        <v>2025</v>
      </c>
      <c r="D17" s="16" t="s">
        <v>70</v>
      </c>
      <c r="E17" s="12" t="s">
        <v>730</v>
      </c>
      <c r="F17" s="17" t="s">
        <v>118</v>
      </c>
      <c r="G17" s="17" t="s">
        <v>731</v>
      </c>
      <c r="H17" s="12"/>
      <c r="I17" s="17" t="s">
        <v>726</v>
      </c>
      <c r="J17" s="17"/>
      <c r="K17" s="17"/>
      <c r="L17" s="17"/>
      <c r="M17" s="17"/>
      <c r="N17" s="17"/>
      <c r="O17" s="17"/>
      <c r="P17" s="17"/>
      <c r="Q17" s="17"/>
      <c r="R17" s="17"/>
      <c r="S17" s="17"/>
      <c r="T17" s="17"/>
      <c r="U17" s="17"/>
      <c r="V17" s="17"/>
      <c r="W17" s="17"/>
      <c r="X17" s="17"/>
      <c r="Y17" s="17"/>
      <c r="Z17" s="17"/>
      <c r="AA17" s="17"/>
      <c r="AB17" s="9" t="str">
        <f aca="false">IF(J17="","",IF(S17="",J17,IF(J17=S17,J17,"DISCUSS")))</f>
        <v/>
      </c>
      <c r="AC17" s="9" t="str">
        <f aca="false">IF(K17="","",IF(T17="",K17,IF(K17=T17,K17,"DISCUSS")))</f>
        <v/>
      </c>
      <c r="AD17" s="9" t="str">
        <f aca="false">IF(L17="","",IF(U17="",L17,IF(L17=U17,L17,"DISCUSS")))</f>
        <v/>
      </c>
      <c r="AE17" s="9" t="str">
        <f aca="false">IF(M17="","",IF(V17="",M17,IF(M17=V17,M17,"DISCUSS")))</f>
        <v/>
      </c>
      <c r="AF17" s="9" t="str">
        <f aca="false">IF(N17="","",IF(W17="",N17,IF(N17=W17,N17,"DISCUSS")))</f>
        <v/>
      </c>
      <c r="AG17" s="9" t="str">
        <f aca="false">IF(O17="","",IF(X17="",O17,IF(O17=X17,O17,"DISCUSS")))</f>
        <v/>
      </c>
      <c r="AH17" s="9" t="str">
        <f aca="false">IF(P17="","",IF(Y17="",P17,IF(P17=Y17,P17,"DISCUSS")))</f>
        <v/>
      </c>
      <c r="AI17" s="9" t="str">
        <f aca="false">IF(Q17="","",IF(Z17="",Q17,IF(Q17=Z17,Q17,"DISCUSS")))</f>
        <v/>
      </c>
      <c r="AJ17" s="9" t="str">
        <f aca="false">IF(R17="","",IF(AA17="",R17,IF(R17=AA17,R17,"DISCUSS")))</f>
        <v/>
      </c>
      <c r="AK17" s="18" t="str">
        <f aca="false">IFERROR(AVERAGE(AB17:AJ17),"")</f>
        <v/>
      </c>
      <c r="AL17" s="9" t="n">
        <f aca="false">COUNT(AB17:AJ17)</f>
        <v>0</v>
      </c>
      <c r="AM17" s="9" t="n">
        <f aca="false">COUNTIF(AB17:AJ17,"DISCUSS")</f>
        <v>0</v>
      </c>
      <c r="AN17" s="9" t="str">
        <f aca="false">IF(AL17=0,"",IF(AM17&gt;0,"Resolve DISCUSS",IF(AL17&lt;Tiers!$B$6,"Unrated",IF(AK17&gt;=Tiers!$B$4,"High",IF(AK17&gt;=Tiers!$B$5,"Medium","Low")))))</f>
        <v/>
      </c>
      <c r="AO17" s="9" t="str">
        <f aca="false">IF(OR(AN17="",AN17="Unrated",AN17="Resolve DISCUSS"),"",COUNTIFS($AN$6:$AN$105,AN17,$AK$6:$AK$105,"&gt;"&amp;AK17)+1)</f>
        <v/>
      </c>
      <c r="AP17" s="12"/>
    </row>
    <row r="18" customFormat="false" ht="15" hidden="false" customHeight="false" outlineLevel="0" collapsed="false">
      <c r="A18" s="15" t="s">
        <v>219</v>
      </c>
      <c r="B18" s="3" t="s">
        <v>220</v>
      </c>
      <c r="C18" s="16" t="n">
        <v>2026</v>
      </c>
      <c r="D18" s="16" t="s">
        <v>70</v>
      </c>
      <c r="E18" s="12" t="s">
        <v>727</v>
      </c>
      <c r="F18" s="17" t="s">
        <v>118</v>
      </c>
      <c r="G18" s="17" t="s">
        <v>731</v>
      </c>
      <c r="H18" s="12"/>
      <c r="I18" s="17" t="s">
        <v>726</v>
      </c>
      <c r="J18" s="17"/>
      <c r="K18" s="17"/>
      <c r="L18" s="17"/>
      <c r="M18" s="17"/>
      <c r="N18" s="17"/>
      <c r="O18" s="17"/>
      <c r="P18" s="17"/>
      <c r="Q18" s="17"/>
      <c r="R18" s="17"/>
      <c r="S18" s="17"/>
      <c r="T18" s="17"/>
      <c r="U18" s="17"/>
      <c r="V18" s="17"/>
      <c r="W18" s="17"/>
      <c r="X18" s="17"/>
      <c r="Y18" s="17"/>
      <c r="Z18" s="17"/>
      <c r="AA18" s="17"/>
      <c r="AB18" s="9" t="str">
        <f aca="false">IF(J18="","",IF(S18="",J18,IF(J18=S18,J18,"DISCUSS")))</f>
        <v/>
      </c>
      <c r="AC18" s="9" t="str">
        <f aca="false">IF(K18="","",IF(T18="",K18,IF(K18=T18,K18,"DISCUSS")))</f>
        <v/>
      </c>
      <c r="AD18" s="9" t="str">
        <f aca="false">IF(L18="","",IF(U18="",L18,IF(L18=U18,L18,"DISCUSS")))</f>
        <v/>
      </c>
      <c r="AE18" s="9" t="str">
        <f aca="false">IF(M18="","",IF(V18="",M18,IF(M18=V18,M18,"DISCUSS")))</f>
        <v/>
      </c>
      <c r="AF18" s="9" t="str">
        <f aca="false">IF(N18="","",IF(W18="",N18,IF(N18=W18,N18,"DISCUSS")))</f>
        <v/>
      </c>
      <c r="AG18" s="9" t="str">
        <f aca="false">IF(O18="","",IF(X18="",O18,IF(O18=X18,O18,"DISCUSS")))</f>
        <v/>
      </c>
      <c r="AH18" s="9" t="str">
        <f aca="false">IF(P18="","",IF(Y18="",P18,IF(P18=Y18,P18,"DISCUSS")))</f>
        <v/>
      </c>
      <c r="AI18" s="9" t="str">
        <f aca="false">IF(Q18="","",IF(Z18="",Q18,IF(Q18=Z18,Q18,"DISCUSS")))</f>
        <v/>
      </c>
      <c r="AJ18" s="9" t="str">
        <f aca="false">IF(R18="","",IF(AA18="",R18,IF(R18=AA18,R18,"DISCUSS")))</f>
        <v/>
      </c>
      <c r="AK18" s="18" t="str">
        <f aca="false">IFERROR(AVERAGE(AB18:AJ18),"")</f>
        <v/>
      </c>
      <c r="AL18" s="9" t="n">
        <f aca="false">COUNT(AB18:AJ18)</f>
        <v>0</v>
      </c>
      <c r="AM18" s="9" t="n">
        <f aca="false">COUNTIF(AB18:AJ18,"DISCUSS")</f>
        <v>0</v>
      </c>
      <c r="AN18" s="9" t="str">
        <f aca="false">IF(AL18=0,"",IF(AM18&gt;0,"Resolve DISCUSS",IF(AL18&lt;Tiers!$B$6,"Unrated",IF(AK18&gt;=Tiers!$B$4,"High",IF(AK18&gt;=Tiers!$B$5,"Medium","Low")))))</f>
        <v/>
      </c>
      <c r="AO18" s="9" t="str">
        <f aca="false">IF(OR(AN18="",AN18="Unrated",AN18="Resolve DISCUSS"),"",COUNTIFS($AN$6:$AN$105,AN18,$AK$6:$AK$105,"&gt;"&amp;AK18)+1)</f>
        <v/>
      </c>
      <c r="AP18" s="12"/>
    </row>
    <row r="19" customFormat="false" ht="23.85" hidden="false" customHeight="false" outlineLevel="0" collapsed="false">
      <c r="A19" s="15" t="s">
        <v>222</v>
      </c>
      <c r="B19" s="3" t="s">
        <v>223</v>
      </c>
      <c r="C19" s="16" t="n">
        <v>2025</v>
      </c>
      <c r="D19" s="16" t="s">
        <v>70</v>
      </c>
      <c r="E19" s="12" t="s">
        <v>730</v>
      </c>
      <c r="F19" s="17" t="s">
        <v>118</v>
      </c>
      <c r="G19" s="17" t="s">
        <v>731</v>
      </c>
      <c r="H19" s="12"/>
      <c r="I19" s="17" t="s">
        <v>726</v>
      </c>
      <c r="J19" s="17"/>
      <c r="K19" s="17"/>
      <c r="L19" s="17"/>
      <c r="M19" s="17"/>
      <c r="N19" s="17"/>
      <c r="O19" s="17"/>
      <c r="P19" s="17"/>
      <c r="Q19" s="17"/>
      <c r="R19" s="17"/>
      <c r="S19" s="17"/>
      <c r="T19" s="17"/>
      <c r="U19" s="17"/>
      <c r="V19" s="17"/>
      <c r="W19" s="17"/>
      <c r="X19" s="17"/>
      <c r="Y19" s="17"/>
      <c r="Z19" s="17"/>
      <c r="AA19" s="17"/>
      <c r="AB19" s="9" t="str">
        <f aca="false">IF(J19="","",IF(S19="",J19,IF(J19=S19,J19,"DISCUSS")))</f>
        <v/>
      </c>
      <c r="AC19" s="9" t="str">
        <f aca="false">IF(K19="","",IF(T19="",K19,IF(K19=T19,K19,"DISCUSS")))</f>
        <v/>
      </c>
      <c r="AD19" s="9" t="str">
        <f aca="false">IF(L19="","",IF(U19="",L19,IF(L19=U19,L19,"DISCUSS")))</f>
        <v/>
      </c>
      <c r="AE19" s="9" t="str">
        <f aca="false">IF(M19="","",IF(V19="",M19,IF(M19=V19,M19,"DISCUSS")))</f>
        <v/>
      </c>
      <c r="AF19" s="9" t="str">
        <f aca="false">IF(N19="","",IF(W19="",N19,IF(N19=W19,N19,"DISCUSS")))</f>
        <v/>
      </c>
      <c r="AG19" s="9" t="str">
        <f aca="false">IF(O19="","",IF(X19="",O19,IF(O19=X19,O19,"DISCUSS")))</f>
        <v/>
      </c>
      <c r="AH19" s="9" t="str">
        <f aca="false">IF(P19="","",IF(Y19="",P19,IF(P19=Y19,P19,"DISCUSS")))</f>
        <v/>
      </c>
      <c r="AI19" s="9" t="str">
        <f aca="false">IF(Q19="","",IF(Z19="",Q19,IF(Q19=Z19,Q19,"DISCUSS")))</f>
        <v/>
      </c>
      <c r="AJ19" s="9" t="str">
        <f aca="false">IF(R19="","",IF(AA19="",R19,IF(R19=AA19,R19,"DISCUSS")))</f>
        <v/>
      </c>
      <c r="AK19" s="18" t="str">
        <f aca="false">IFERROR(AVERAGE(AB19:AJ19),"")</f>
        <v/>
      </c>
      <c r="AL19" s="9" t="n">
        <f aca="false">COUNT(AB19:AJ19)</f>
        <v>0</v>
      </c>
      <c r="AM19" s="9" t="n">
        <f aca="false">COUNTIF(AB19:AJ19,"DISCUSS")</f>
        <v>0</v>
      </c>
      <c r="AN19" s="9" t="str">
        <f aca="false">IF(AL19=0,"",IF(AM19&gt;0,"Resolve DISCUSS",IF(AL19&lt;Tiers!$B$6,"Unrated",IF(AK19&gt;=Tiers!$B$4,"High",IF(AK19&gt;=Tiers!$B$5,"Medium","Low")))))</f>
        <v/>
      </c>
      <c r="AO19" s="9" t="str">
        <f aca="false">IF(OR(AN19="",AN19="Unrated",AN19="Resolve DISCUSS"),"",COUNTIFS($AN$6:$AN$105,AN19,$AK$6:$AK$105,"&gt;"&amp;AK19)+1)</f>
        <v/>
      </c>
      <c r="AP19" s="12"/>
    </row>
    <row r="20" customFormat="false" ht="23.85" hidden="false" customHeight="false" outlineLevel="0" collapsed="false">
      <c r="A20" s="15" t="s">
        <v>224</v>
      </c>
      <c r="B20" s="3" t="s">
        <v>225</v>
      </c>
      <c r="C20" s="16" t="n">
        <v>2026</v>
      </c>
      <c r="D20" s="16" t="s">
        <v>70</v>
      </c>
      <c r="E20" s="12" t="s">
        <v>730</v>
      </c>
      <c r="F20" s="17" t="s">
        <v>118</v>
      </c>
      <c r="G20" s="17" t="s">
        <v>731</v>
      </c>
      <c r="H20" s="12"/>
      <c r="I20" s="17" t="s">
        <v>726</v>
      </c>
      <c r="J20" s="17"/>
      <c r="K20" s="17"/>
      <c r="L20" s="17"/>
      <c r="M20" s="17"/>
      <c r="N20" s="17"/>
      <c r="O20" s="17"/>
      <c r="P20" s="17"/>
      <c r="Q20" s="17"/>
      <c r="R20" s="17"/>
      <c r="S20" s="17"/>
      <c r="T20" s="17"/>
      <c r="U20" s="17"/>
      <c r="V20" s="17"/>
      <c r="W20" s="17"/>
      <c r="X20" s="17"/>
      <c r="Y20" s="17"/>
      <c r="Z20" s="17"/>
      <c r="AA20" s="17"/>
      <c r="AB20" s="9" t="str">
        <f aca="false">IF(J20="","",IF(S20="",J20,IF(J20=S20,J20,"DISCUSS")))</f>
        <v/>
      </c>
      <c r="AC20" s="9" t="str">
        <f aca="false">IF(K20="","",IF(T20="",K20,IF(K20=T20,K20,"DISCUSS")))</f>
        <v/>
      </c>
      <c r="AD20" s="9" t="str">
        <f aca="false">IF(L20="","",IF(U20="",L20,IF(L20=U20,L20,"DISCUSS")))</f>
        <v/>
      </c>
      <c r="AE20" s="9" t="str">
        <f aca="false">IF(M20="","",IF(V20="",M20,IF(M20=V20,M20,"DISCUSS")))</f>
        <v/>
      </c>
      <c r="AF20" s="9" t="str">
        <f aca="false">IF(N20="","",IF(W20="",N20,IF(N20=W20,N20,"DISCUSS")))</f>
        <v/>
      </c>
      <c r="AG20" s="9" t="str">
        <f aca="false">IF(O20="","",IF(X20="",O20,IF(O20=X20,O20,"DISCUSS")))</f>
        <v/>
      </c>
      <c r="AH20" s="9" t="str">
        <f aca="false">IF(P20="","",IF(Y20="",P20,IF(P20=Y20,P20,"DISCUSS")))</f>
        <v/>
      </c>
      <c r="AI20" s="9" t="str">
        <f aca="false">IF(Q20="","",IF(Z20="",Q20,IF(Q20=Z20,Q20,"DISCUSS")))</f>
        <v/>
      </c>
      <c r="AJ20" s="9" t="str">
        <f aca="false">IF(R20="","",IF(AA20="",R20,IF(R20=AA20,R20,"DISCUSS")))</f>
        <v/>
      </c>
      <c r="AK20" s="18" t="str">
        <f aca="false">IFERROR(AVERAGE(AB20:AJ20),"")</f>
        <v/>
      </c>
      <c r="AL20" s="9" t="n">
        <f aca="false">COUNT(AB20:AJ20)</f>
        <v>0</v>
      </c>
      <c r="AM20" s="9" t="n">
        <f aca="false">COUNTIF(AB20:AJ20,"DISCUSS")</f>
        <v>0</v>
      </c>
      <c r="AN20" s="9" t="str">
        <f aca="false">IF(AL20=0,"",IF(AM20&gt;0,"Resolve DISCUSS",IF(AL20&lt;Tiers!$B$6,"Unrated",IF(AK20&gt;=Tiers!$B$4,"High",IF(AK20&gt;=Tiers!$B$5,"Medium","Low")))))</f>
        <v/>
      </c>
      <c r="AO20" s="9" t="str">
        <f aca="false">IF(OR(AN20="",AN20="Unrated",AN20="Resolve DISCUSS"),"",COUNTIFS($AN$6:$AN$105,AN20,$AK$6:$AK$105,"&gt;"&amp;AK20)+1)</f>
        <v/>
      </c>
      <c r="AP20" s="12"/>
    </row>
    <row r="21" customFormat="false" ht="15" hidden="false" customHeight="false" outlineLevel="0" collapsed="false">
      <c r="A21" s="15" t="s">
        <v>226</v>
      </c>
      <c r="B21" s="3" t="s">
        <v>227</v>
      </c>
      <c r="C21" s="16" t="n">
        <v>2025</v>
      </c>
      <c r="D21" s="16" t="s">
        <v>70</v>
      </c>
      <c r="E21" s="12" t="s">
        <v>727</v>
      </c>
      <c r="F21" s="17" t="s">
        <v>118</v>
      </c>
      <c r="G21" s="17" t="s">
        <v>731</v>
      </c>
      <c r="H21" s="12"/>
      <c r="I21" s="17" t="s">
        <v>726</v>
      </c>
      <c r="J21" s="17"/>
      <c r="K21" s="17"/>
      <c r="L21" s="17"/>
      <c r="M21" s="17"/>
      <c r="N21" s="17"/>
      <c r="O21" s="17"/>
      <c r="P21" s="17"/>
      <c r="Q21" s="17"/>
      <c r="R21" s="17"/>
      <c r="S21" s="17"/>
      <c r="T21" s="17"/>
      <c r="U21" s="17"/>
      <c r="V21" s="17"/>
      <c r="W21" s="17"/>
      <c r="X21" s="17"/>
      <c r="Y21" s="17"/>
      <c r="Z21" s="17"/>
      <c r="AA21" s="17"/>
      <c r="AB21" s="9" t="str">
        <f aca="false">IF(J21="","",IF(S21="",J21,IF(J21=S21,J21,"DISCUSS")))</f>
        <v/>
      </c>
      <c r="AC21" s="9" t="str">
        <f aca="false">IF(K21="","",IF(T21="",K21,IF(K21=T21,K21,"DISCUSS")))</f>
        <v/>
      </c>
      <c r="AD21" s="9" t="str">
        <f aca="false">IF(L21="","",IF(U21="",L21,IF(L21=U21,L21,"DISCUSS")))</f>
        <v/>
      </c>
      <c r="AE21" s="9" t="str">
        <f aca="false">IF(M21="","",IF(V21="",M21,IF(M21=V21,M21,"DISCUSS")))</f>
        <v/>
      </c>
      <c r="AF21" s="9" t="str">
        <f aca="false">IF(N21="","",IF(W21="",N21,IF(N21=W21,N21,"DISCUSS")))</f>
        <v/>
      </c>
      <c r="AG21" s="9" t="str">
        <f aca="false">IF(O21="","",IF(X21="",O21,IF(O21=X21,O21,"DISCUSS")))</f>
        <v/>
      </c>
      <c r="AH21" s="9" t="str">
        <f aca="false">IF(P21="","",IF(Y21="",P21,IF(P21=Y21,P21,"DISCUSS")))</f>
        <v/>
      </c>
      <c r="AI21" s="9" t="str">
        <f aca="false">IF(Q21="","",IF(Z21="",Q21,IF(Q21=Z21,Q21,"DISCUSS")))</f>
        <v/>
      </c>
      <c r="AJ21" s="9" t="str">
        <f aca="false">IF(R21="","",IF(AA21="",R21,IF(R21=AA21,R21,"DISCUSS")))</f>
        <v/>
      </c>
      <c r="AK21" s="18" t="str">
        <f aca="false">IFERROR(AVERAGE(AB21:AJ21),"")</f>
        <v/>
      </c>
      <c r="AL21" s="9" t="n">
        <f aca="false">COUNT(AB21:AJ21)</f>
        <v>0</v>
      </c>
      <c r="AM21" s="9" t="n">
        <f aca="false">COUNTIF(AB21:AJ21,"DISCUSS")</f>
        <v>0</v>
      </c>
      <c r="AN21" s="9" t="str">
        <f aca="false">IF(AL21=0,"",IF(AM21&gt;0,"Resolve DISCUSS",IF(AL21&lt;Tiers!$B$6,"Unrated",IF(AK21&gt;=Tiers!$B$4,"High",IF(AK21&gt;=Tiers!$B$5,"Medium","Low")))))</f>
        <v/>
      </c>
      <c r="AO21" s="9" t="str">
        <f aca="false">IF(OR(AN21="",AN21="Unrated",AN21="Resolve DISCUSS"),"",COUNTIFS($AN$6:$AN$105,AN21,$AK$6:$AK$105,"&gt;"&amp;AK21)+1)</f>
        <v/>
      </c>
      <c r="AP21" s="12"/>
    </row>
    <row r="22" customFormat="false" ht="23.85" hidden="false" customHeight="false" outlineLevel="0" collapsed="false">
      <c r="A22" s="15" t="s">
        <v>234</v>
      </c>
      <c r="B22" s="3" t="s">
        <v>235</v>
      </c>
      <c r="C22" s="16" t="n">
        <v>2025</v>
      </c>
      <c r="D22" s="16" t="s">
        <v>70</v>
      </c>
      <c r="E22" s="12" t="s">
        <v>723</v>
      </c>
      <c r="F22" s="17" t="s">
        <v>118</v>
      </c>
      <c r="G22" s="17" t="s">
        <v>731</v>
      </c>
      <c r="H22" s="12"/>
      <c r="I22" s="17" t="s">
        <v>726</v>
      </c>
      <c r="J22" s="17"/>
      <c r="K22" s="17"/>
      <c r="L22" s="17"/>
      <c r="M22" s="17"/>
      <c r="N22" s="17"/>
      <c r="O22" s="17"/>
      <c r="P22" s="17"/>
      <c r="Q22" s="17"/>
      <c r="R22" s="17"/>
      <c r="S22" s="17"/>
      <c r="T22" s="17"/>
      <c r="U22" s="17"/>
      <c r="V22" s="17"/>
      <c r="W22" s="17"/>
      <c r="X22" s="17"/>
      <c r="Y22" s="17"/>
      <c r="Z22" s="17"/>
      <c r="AA22" s="17"/>
      <c r="AB22" s="9" t="str">
        <f aca="false">IF(J22="","",IF(S22="",J22,IF(J22=S22,J22,"DISCUSS")))</f>
        <v/>
      </c>
      <c r="AC22" s="9" t="str">
        <f aca="false">IF(K22="","",IF(T22="",K22,IF(K22=T22,K22,"DISCUSS")))</f>
        <v/>
      </c>
      <c r="AD22" s="9" t="str">
        <f aca="false">IF(L22="","",IF(U22="",L22,IF(L22=U22,L22,"DISCUSS")))</f>
        <v/>
      </c>
      <c r="AE22" s="9" t="str">
        <f aca="false">IF(M22="","",IF(V22="",M22,IF(M22=V22,M22,"DISCUSS")))</f>
        <v/>
      </c>
      <c r="AF22" s="9" t="str">
        <f aca="false">IF(N22="","",IF(W22="",N22,IF(N22=W22,N22,"DISCUSS")))</f>
        <v/>
      </c>
      <c r="AG22" s="9" t="str">
        <f aca="false">IF(O22="","",IF(X22="",O22,IF(O22=X22,O22,"DISCUSS")))</f>
        <v/>
      </c>
      <c r="AH22" s="9" t="str">
        <f aca="false">IF(P22="","",IF(Y22="",P22,IF(P22=Y22,P22,"DISCUSS")))</f>
        <v/>
      </c>
      <c r="AI22" s="9" t="str">
        <f aca="false">IF(Q22="","",IF(Z22="",Q22,IF(Q22=Z22,Q22,"DISCUSS")))</f>
        <v/>
      </c>
      <c r="AJ22" s="9" t="str">
        <f aca="false">IF(R22="","",IF(AA22="",R22,IF(R22=AA22,R22,"DISCUSS")))</f>
        <v/>
      </c>
      <c r="AK22" s="18" t="str">
        <f aca="false">IFERROR(AVERAGE(AB22:AJ22),"")</f>
        <v/>
      </c>
      <c r="AL22" s="9" t="n">
        <f aca="false">COUNT(AB22:AJ22)</f>
        <v>0</v>
      </c>
      <c r="AM22" s="9" t="n">
        <f aca="false">COUNTIF(AB22:AJ22,"DISCUSS")</f>
        <v>0</v>
      </c>
      <c r="AN22" s="9" t="str">
        <f aca="false">IF(AL22=0,"",IF(AM22&gt;0,"Resolve DISCUSS",IF(AL22&lt;Tiers!$B$6,"Unrated",IF(AK22&gt;=Tiers!$B$4,"High",IF(AK22&gt;=Tiers!$B$5,"Medium","Low")))))</f>
        <v/>
      </c>
      <c r="AO22" s="9" t="str">
        <f aca="false">IF(OR(AN22="",AN22="Unrated",AN22="Resolve DISCUSS"),"",COUNTIFS($AN$6:$AN$105,AN22,$AK$6:$AK$105,"&gt;"&amp;AK22)+1)</f>
        <v/>
      </c>
      <c r="AP22" s="12"/>
    </row>
    <row r="23" customFormat="false" ht="23.85" hidden="false" customHeight="false" outlineLevel="0" collapsed="false">
      <c r="A23" s="15" t="s">
        <v>239</v>
      </c>
      <c r="B23" s="3" t="s">
        <v>240</v>
      </c>
      <c r="C23" s="16" t="n">
        <v>2026</v>
      </c>
      <c r="D23" s="16" t="s">
        <v>70</v>
      </c>
      <c r="E23" s="12" t="s">
        <v>730</v>
      </c>
      <c r="F23" s="17" t="s">
        <v>118</v>
      </c>
      <c r="G23" s="17" t="s">
        <v>731</v>
      </c>
      <c r="H23" s="12"/>
      <c r="I23" s="17" t="s">
        <v>726</v>
      </c>
      <c r="J23" s="17"/>
      <c r="K23" s="17"/>
      <c r="L23" s="17"/>
      <c r="M23" s="17"/>
      <c r="N23" s="17"/>
      <c r="O23" s="17"/>
      <c r="P23" s="17"/>
      <c r="Q23" s="17"/>
      <c r="R23" s="17"/>
      <c r="S23" s="17"/>
      <c r="T23" s="17"/>
      <c r="U23" s="17"/>
      <c r="V23" s="17"/>
      <c r="W23" s="17"/>
      <c r="X23" s="17"/>
      <c r="Y23" s="17"/>
      <c r="Z23" s="17"/>
      <c r="AA23" s="17"/>
      <c r="AB23" s="9" t="str">
        <f aca="false">IF(J23="","",IF(S23="",J23,IF(J23=S23,J23,"DISCUSS")))</f>
        <v/>
      </c>
      <c r="AC23" s="9" t="str">
        <f aca="false">IF(K23="","",IF(T23="",K23,IF(K23=T23,K23,"DISCUSS")))</f>
        <v/>
      </c>
      <c r="AD23" s="9" t="str">
        <f aca="false">IF(L23="","",IF(U23="",L23,IF(L23=U23,L23,"DISCUSS")))</f>
        <v/>
      </c>
      <c r="AE23" s="9" t="str">
        <f aca="false">IF(M23="","",IF(V23="",M23,IF(M23=V23,M23,"DISCUSS")))</f>
        <v/>
      </c>
      <c r="AF23" s="9" t="str">
        <f aca="false">IF(N23="","",IF(W23="",N23,IF(N23=W23,N23,"DISCUSS")))</f>
        <v/>
      </c>
      <c r="AG23" s="9" t="str">
        <f aca="false">IF(O23="","",IF(X23="",O23,IF(O23=X23,O23,"DISCUSS")))</f>
        <v/>
      </c>
      <c r="AH23" s="9" t="str">
        <f aca="false">IF(P23="","",IF(Y23="",P23,IF(P23=Y23,P23,"DISCUSS")))</f>
        <v/>
      </c>
      <c r="AI23" s="9" t="str">
        <f aca="false">IF(Q23="","",IF(Z23="",Q23,IF(Q23=Z23,Q23,"DISCUSS")))</f>
        <v/>
      </c>
      <c r="AJ23" s="9" t="str">
        <f aca="false">IF(R23="","",IF(AA23="",R23,IF(R23=AA23,R23,"DISCUSS")))</f>
        <v/>
      </c>
      <c r="AK23" s="18" t="str">
        <f aca="false">IFERROR(AVERAGE(AB23:AJ23),"")</f>
        <v/>
      </c>
      <c r="AL23" s="9" t="n">
        <f aca="false">COUNT(AB23:AJ23)</f>
        <v>0</v>
      </c>
      <c r="AM23" s="9" t="n">
        <f aca="false">COUNTIF(AB23:AJ23,"DISCUSS")</f>
        <v>0</v>
      </c>
      <c r="AN23" s="9" t="str">
        <f aca="false">IF(AL23=0,"",IF(AM23&gt;0,"Resolve DISCUSS",IF(AL23&lt;Tiers!$B$6,"Unrated",IF(AK23&gt;=Tiers!$B$4,"High",IF(AK23&gt;=Tiers!$B$5,"Medium","Low")))))</f>
        <v/>
      </c>
      <c r="AO23" s="9" t="str">
        <f aca="false">IF(OR(AN23="",AN23="Unrated",AN23="Resolve DISCUSS"),"",COUNTIFS($AN$6:$AN$105,AN23,$AK$6:$AK$105,"&gt;"&amp;AK23)+1)</f>
        <v/>
      </c>
      <c r="AP23" s="12"/>
    </row>
    <row r="24" customFormat="false" ht="23.85" hidden="false" customHeight="false" outlineLevel="0" collapsed="false">
      <c r="A24" s="15" t="s">
        <v>251</v>
      </c>
      <c r="B24" s="3" t="s">
        <v>252</v>
      </c>
      <c r="C24" s="16" t="n">
        <v>2023</v>
      </c>
      <c r="D24" s="16" t="s">
        <v>70</v>
      </c>
      <c r="E24" s="12" t="s">
        <v>730</v>
      </c>
      <c r="F24" s="17" t="s">
        <v>724</v>
      </c>
      <c r="G24" s="17" t="s">
        <v>731</v>
      </c>
      <c r="H24" s="12"/>
      <c r="I24" s="17" t="s">
        <v>726</v>
      </c>
      <c r="J24" s="17"/>
      <c r="K24" s="17"/>
      <c r="L24" s="17"/>
      <c r="M24" s="17"/>
      <c r="N24" s="17"/>
      <c r="O24" s="17"/>
      <c r="P24" s="17"/>
      <c r="Q24" s="17"/>
      <c r="R24" s="17"/>
      <c r="S24" s="17"/>
      <c r="T24" s="17"/>
      <c r="U24" s="17"/>
      <c r="V24" s="17"/>
      <c r="W24" s="17"/>
      <c r="X24" s="17"/>
      <c r="Y24" s="17"/>
      <c r="Z24" s="17"/>
      <c r="AA24" s="17"/>
      <c r="AB24" s="9" t="str">
        <f aca="false">IF(J24="","",IF(S24="",J24,IF(J24=S24,J24,"DISCUSS")))</f>
        <v/>
      </c>
      <c r="AC24" s="9" t="str">
        <f aca="false">IF(K24="","",IF(T24="",K24,IF(K24=T24,K24,"DISCUSS")))</f>
        <v/>
      </c>
      <c r="AD24" s="9" t="str">
        <f aca="false">IF(L24="","",IF(U24="",L24,IF(L24=U24,L24,"DISCUSS")))</f>
        <v/>
      </c>
      <c r="AE24" s="9" t="str">
        <f aca="false">IF(M24="","",IF(V24="",M24,IF(M24=V24,M24,"DISCUSS")))</f>
        <v/>
      </c>
      <c r="AF24" s="9" t="str">
        <f aca="false">IF(N24="","",IF(W24="",N24,IF(N24=W24,N24,"DISCUSS")))</f>
        <v/>
      </c>
      <c r="AG24" s="9" t="str">
        <f aca="false">IF(O24="","",IF(X24="",O24,IF(O24=X24,O24,"DISCUSS")))</f>
        <v/>
      </c>
      <c r="AH24" s="9" t="str">
        <f aca="false">IF(P24="","",IF(Y24="",P24,IF(P24=Y24,P24,"DISCUSS")))</f>
        <v/>
      </c>
      <c r="AI24" s="9" t="str">
        <f aca="false">IF(Q24="","",IF(Z24="",Q24,IF(Q24=Z24,Q24,"DISCUSS")))</f>
        <v/>
      </c>
      <c r="AJ24" s="9" t="str">
        <f aca="false">IF(R24="","",IF(AA24="",R24,IF(R24=AA24,R24,"DISCUSS")))</f>
        <v/>
      </c>
      <c r="AK24" s="18" t="str">
        <f aca="false">IFERROR(AVERAGE(AB24:AJ24),"")</f>
        <v/>
      </c>
      <c r="AL24" s="9" t="n">
        <f aca="false">COUNT(AB24:AJ24)</f>
        <v>0</v>
      </c>
      <c r="AM24" s="9" t="n">
        <f aca="false">COUNTIF(AB24:AJ24,"DISCUSS")</f>
        <v>0</v>
      </c>
      <c r="AN24" s="9" t="str">
        <f aca="false">IF(AL24=0,"",IF(AM24&gt;0,"Resolve DISCUSS",IF(AL24&lt;Tiers!$B$6,"Unrated",IF(AK24&gt;=Tiers!$B$4,"High",IF(AK24&gt;=Tiers!$B$5,"Medium","Low")))))</f>
        <v/>
      </c>
      <c r="AO24" s="9" t="str">
        <f aca="false">IF(OR(AN24="",AN24="Unrated",AN24="Resolve DISCUSS"),"",COUNTIFS($AN$6:$AN$105,AN24,$AK$6:$AK$105,"&gt;"&amp;AK24)+1)</f>
        <v/>
      </c>
      <c r="AP24" s="12"/>
    </row>
    <row r="25" customFormat="false" ht="23.85" hidden="false" customHeight="false" outlineLevel="0" collapsed="false">
      <c r="A25" s="15" t="s">
        <v>277</v>
      </c>
      <c r="B25" s="3" t="s">
        <v>278</v>
      </c>
      <c r="C25" s="16" t="n">
        <v>2024</v>
      </c>
      <c r="D25" s="16" t="s">
        <v>70</v>
      </c>
      <c r="E25" s="12" t="s">
        <v>730</v>
      </c>
      <c r="F25" s="17" t="s">
        <v>118</v>
      </c>
      <c r="G25" s="17" t="s">
        <v>731</v>
      </c>
      <c r="H25" s="12"/>
      <c r="I25" s="17" t="s">
        <v>726</v>
      </c>
      <c r="J25" s="17"/>
      <c r="K25" s="17"/>
      <c r="L25" s="17"/>
      <c r="M25" s="17"/>
      <c r="N25" s="17"/>
      <c r="O25" s="17"/>
      <c r="P25" s="17"/>
      <c r="Q25" s="17"/>
      <c r="R25" s="17"/>
      <c r="S25" s="17"/>
      <c r="T25" s="17"/>
      <c r="U25" s="17"/>
      <c r="V25" s="17"/>
      <c r="W25" s="17"/>
      <c r="X25" s="17"/>
      <c r="Y25" s="17"/>
      <c r="Z25" s="17"/>
      <c r="AA25" s="17"/>
      <c r="AB25" s="9" t="str">
        <f aca="false">IF(J25="","",IF(S25="",J25,IF(J25=S25,J25,"DISCUSS")))</f>
        <v/>
      </c>
      <c r="AC25" s="9" t="str">
        <f aca="false">IF(K25="","",IF(T25="",K25,IF(K25=T25,K25,"DISCUSS")))</f>
        <v/>
      </c>
      <c r="AD25" s="9" t="str">
        <f aca="false">IF(L25="","",IF(U25="",L25,IF(L25=U25,L25,"DISCUSS")))</f>
        <v/>
      </c>
      <c r="AE25" s="9" t="str">
        <f aca="false">IF(M25="","",IF(V25="",M25,IF(M25=V25,M25,"DISCUSS")))</f>
        <v/>
      </c>
      <c r="AF25" s="9" t="str">
        <f aca="false">IF(N25="","",IF(W25="",N25,IF(N25=W25,N25,"DISCUSS")))</f>
        <v/>
      </c>
      <c r="AG25" s="9" t="str">
        <f aca="false">IF(O25="","",IF(X25="",O25,IF(O25=X25,O25,"DISCUSS")))</f>
        <v/>
      </c>
      <c r="AH25" s="9" t="str">
        <f aca="false">IF(P25="","",IF(Y25="",P25,IF(P25=Y25,P25,"DISCUSS")))</f>
        <v/>
      </c>
      <c r="AI25" s="9" t="str">
        <f aca="false">IF(Q25="","",IF(Z25="",Q25,IF(Q25=Z25,Q25,"DISCUSS")))</f>
        <v/>
      </c>
      <c r="AJ25" s="9" t="str">
        <f aca="false">IF(R25="","",IF(AA25="",R25,IF(R25=AA25,R25,"DISCUSS")))</f>
        <v/>
      </c>
      <c r="AK25" s="18" t="str">
        <f aca="false">IFERROR(AVERAGE(AB25:AJ25),"")</f>
        <v/>
      </c>
      <c r="AL25" s="9" t="n">
        <f aca="false">COUNT(AB25:AJ25)</f>
        <v>0</v>
      </c>
      <c r="AM25" s="9" t="n">
        <f aca="false">COUNTIF(AB25:AJ25,"DISCUSS")</f>
        <v>0</v>
      </c>
      <c r="AN25" s="9" t="str">
        <f aca="false">IF(AL25=0,"",IF(AM25&gt;0,"Resolve DISCUSS",IF(AL25&lt;Tiers!$B$6,"Unrated",IF(AK25&gt;=Tiers!$B$4,"High",IF(AK25&gt;=Tiers!$B$5,"Medium","Low")))))</f>
        <v/>
      </c>
      <c r="AO25" s="9" t="str">
        <f aca="false">IF(OR(AN25="",AN25="Unrated",AN25="Resolve DISCUSS"),"",COUNTIFS($AN$6:$AN$105,AN25,$AK$6:$AK$105,"&gt;"&amp;AK25)+1)</f>
        <v/>
      </c>
      <c r="AP25" s="12"/>
    </row>
    <row r="26" customFormat="false" ht="23.85" hidden="false" customHeight="false" outlineLevel="0" collapsed="false">
      <c r="A26" s="15" t="s">
        <v>285</v>
      </c>
      <c r="B26" s="3" t="s">
        <v>286</v>
      </c>
      <c r="C26" s="16" t="n">
        <v>2023</v>
      </c>
      <c r="D26" s="16" t="s">
        <v>70</v>
      </c>
      <c r="E26" s="12" t="s">
        <v>723</v>
      </c>
      <c r="F26" s="17" t="s">
        <v>724</v>
      </c>
      <c r="G26" s="17" t="s">
        <v>731</v>
      </c>
      <c r="H26" s="12"/>
      <c r="I26" s="17" t="s">
        <v>726</v>
      </c>
      <c r="J26" s="17"/>
      <c r="K26" s="17"/>
      <c r="L26" s="17"/>
      <c r="M26" s="17"/>
      <c r="N26" s="17"/>
      <c r="O26" s="17"/>
      <c r="P26" s="17"/>
      <c r="Q26" s="17"/>
      <c r="R26" s="17"/>
      <c r="S26" s="17"/>
      <c r="T26" s="17"/>
      <c r="U26" s="17"/>
      <c r="V26" s="17"/>
      <c r="W26" s="17"/>
      <c r="X26" s="17"/>
      <c r="Y26" s="17"/>
      <c r="Z26" s="17"/>
      <c r="AA26" s="17"/>
      <c r="AB26" s="9" t="str">
        <f aca="false">IF(J26="","",IF(S26="",J26,IF(J26=S26,J26,"DISCUSS")))</f>
        <v/>
      </c>
      <c r="AC26" s="9" t="str">
        <f aca="false">IF(K26="","",IF(T26="",K26,IF(K26=T26,K26,"DISCUSS")))</f>
        <v/>
      </c>
      <c r="AD26" s="9" t="str">
        <f aca="false">IF(L26="","",IF(U26="",L26,IF(L26=U26,L26,"DISCUSS")))</f>
        <v/>
      </c>
      <c r="AE26" s="9" t="str">
        <f aca="false">IF(M26="","",IF(V26="",M26,IF(M26=V26,M26,"DISCUSS")))</f>
        <v/>
      </c>
      <c r="AF26" s="9" t="str">
        <f aca="false">IF(N26="","",IF(W26="",N26,IF(N26=W26,N26,"DISCUSS")))</f>
        <v/>
      </c>
      <c r="AG26" s="9" t="str">
        <f aca="false">IF(O26="","",IF(X26="",O26,IF(O26=X26,O26,"DISCUSS")))</f>
        <v/>
      </c>
      <c r="AH26" s="9" t="str">
        <f aca="false">IF(P26="","",IF(Y26="",P26,IF(P26=Y26,P26,"DISCUSS")))</f>
        <v/>
      </c>
      <c r="AI26" s="9" t="str">
        <f aca="false">IF(Q26="","",IF(Z26="",Q26,IF(Q26=Z26,Q26,"DISCUSS")))</f>
        <v/>
      </c>
      <c r="AJ26" s="9" t="str">
        <f aca="false">IF(R26="","",IF(AA26="",R26,IF(R26=AA26,R26,"DISCUSS")))</f>
        <v/>
      </c>
      <c r="AK26" s="18" t="str">
        <f aca="false">IFERROR(AVERAGE(AB26:AJ26),"")</f>
        <v/>
      </c>
      <c r="AL26" s="9" t="n">
        <f aca="false">COUNT(AB26:AJ26)</f>
        <v>0</v>
      </c>
      <c r="AM26" s="9" t="n">
        <f aca="false">COUNTIF(AB26:AJ26,"DISCUSS")</f>
        <v>0</v>
      </c>
      <c r="AN26" s="9" t="str">
        <f aca="false">IF(AL26=0,"",IF(AM26&gt;0,"Resolve DISCUSS",IF(AL26&lt;Tiers!$B$6,"Unrated",IF(AK26&gt;=Tiers!$B$4,"High",IF(AK26&gt;=Tiers!$B$5,"Medium","Low")))))</f>
        <v/>
      </c>
      <c r="AO26" s="9" t="str">
        <f aca="false">IF(OR(AN26="",AN26="Unrated",AN26="Resolve DISCUSS"),"",COUNTIFS($AN$6:$AN$105,AN26,$AK$6:$AK$105,"&gt;"&amp;AK26)+1)</f>
        <v/>
      </c>
      <c r="AP26" s="12"/>
    </row>
    <row r="27" customFormat="false" ht="23.85" hidden="false" customHeight="false" outlineLevel="0" collapsed="false">
      <c r="A27" s="15" t="s">
        <v>293</v>
      </c>
      <c r="B27" s="3" t="s">
        <v>294</v>
      </c>
      <c r="C27" s="16" t="n">
        <v>2026</v>
      </c>
      <c r="D27" s="16" t="s">
        <v>70</v>
      </c>
      <c r="E27" s="12" t="s">
        <v>723</v>
      </c>
      <c r="F27" s="17" t="s">
        <v>118</v>
      </c>
      <c r="G27" s="17" t="s">
        <v>731</v>
      </c>
      <c r="H27" s="12"/>
      <c r="I27" s="17" t="s">
        <v>726</v>
      </c>
      <c r="J27" s="17"/>
      <c r="K27" s="17"/>
      <c r="L27" s="17"/>
      <c r="M27" s="17"/>
      <c r="N27" s="17"/>
      <c r="O27" s="17"/>
      <c r="P27" s="17"/>
      <c r="Q27" s="17"/>
      <c r="R27" s="17"/>
      <c r="S27" s="17"/>
      <c r="T27" s="17"/>
      <c r="U27" s="17"/>
      <c r="V27" s="17"/>
      <c r="W27" s="17"/>
      <c r="X27" s="17"/>
      <c r="Y27" s="17"/>
      <c r="Z27" s="17"/>
      <c r="AA27" s="17"/>
      <c r="AB27" s="9" t="str">
        <f aca="false">IF(J27="","",IF(S27="",J27,IF(J27=S27,J27,"DISCUSS")))</f>
        <v/>
      </c>
      <c r="AC27" s="9" t="str">
        <f aca="false">IF(K27="","",IF(T27="",K27,IF(K27=T27,K27,"DISCUSS")))</f>
        <v/>
      </c>
      <c r="AD27" s="9" t="str">
        <f aca="false">IF(L27="","",IF(U27="",L27,IF(L27=U27,L27,"DISCUSS")))</f>
        <v/>
      </c>
      <c r="AE27" s="9" t="str">
        <f aca="false">IF(M27="","",IF(V27="",M27,IF(M27=V27,M27,"DISCUSS")))</f>
        <v/>
      </c>
      <c r="AF27" s="9" t="str">
        <f aca="false">IF(N27="","",IF(W27="",N27,IF(N27=W27,N27,"DISCUSS")))</f>
        <v/>
      </c>
      <c r="AG27" s="9" t="str">
        <f aca="false">IF(O27="","",IF(X27="",O27,IF(O27=X27,O27,"DISCUSS")))</f>
        <v/>
      </c>
      <c r="AH27" s="9" t="str">
        <f aca="false">IF(P27="","",IF(Y27="",P27,IF(P27=Y27,P27,"DISCUSS")))</f>
        <v/>
      </c>
      <c r="AI27" s="9" t="str">
        <f aca="false">IF(Q27="","",IF(Z27="",Q27,IF(Q27=Z27,Q27,"DISCUSS")))</f>
        <v/>
      </c>
      <c r="AJ27" s="9" t="str">
        <f aca="false">IF(R27="","",IF(AA27="",R27,IF(R27=AA27,R27,"DISCUSS")))</f>
        <v/>
      </c>
      <c r="AK27" s="18" t="str">
        <f aca="false">IFERROR(AVERAGE(AB27:AJ27),"")</f>
        <v/>
      </c>
      <c r="AL27" s="9" t="n">
        <f aca="false">COUNT(AB27:AJ27)</f>
        <v>0</v>
      </c>
      <c r="AM27" s="9" t="n">
        <f aca="false">COUNTIF(AB27:AJ27,"DISCUSS")</f>
        <v>0</v>
      </c>
      <c r="AN27" s="9" t="str">
        <f aca="false">IF(AL27=0,"",IF(AM27&gt;0,"Resolve DISCUSS",IF(AL27&lt;Tiers!$B$6,"Unrated",IF(AK27&gt;=Tiers!$B$4,"High",IF(AK27&gt;=Tiers!$B$5,"Medium","Low")))))</f>
        <v/>
      </c>
      <c r="AO27" s="9" t="str">
        <f aca="false">IF(OR(AN27="",AN27="Unrated",AN27="Resolve DISCUSS"),"",COUNTIFS($AN$6:$AN$105,AN27,$AK$6:$AK$105,"&gt;"&amp;AK27)+1)</f>
        <v/>
      </c>
      <c r="AP27" s="12"/>
    </row>
    <row r="28" customFormat="false" ht="23.85" hidden="false" customHeight="false" outlineLevel="0" collapsed="false">
      <c r="A28" s="15" t="s">
        <v>295</v>
      </c>
      <c r="B28" s="3" t="s">
        <v>296</v>
      </c>
      <c r="C28" s="16" t="n">
        <v>2026</v>
      </c>
      <c r="D28" s="16" t="s">
        <v>70</v>
      </c>
      <c r="E28" s="12" t="s">
        <v>723</v>
      </c>
      <c r="F28" s="17" t="s">
        <v>118</v>
      </c>
      <c r="G28" s="17" t="s">
        <v>731</v>
      </c>
      <c r="H28" s="12"/>
      <c r="I28" s="17" t="s">
        <v>726</v>
      </c>
      <c r="J28" s="17"/>
      <c r="K28" s="17"/>
      <c r="L28" s="17"/>
      <c r="M28" s="17"/>
      <c r="N28" s="17"/>
      <c r="O28" s="17"/>
      <c r="P28" s="17"/>
      <c r="Q28" s="17"/>
      <c r="R28" s="17"/>
      <c r="S28" s="17"/>
      <c r="T28" s="17"/>
      <c r="U28" s="17"/>
      <c r="V28" s="17"/>
      <c r="W28" s="17"/>
      <c r="X28" s="17"/>
      <c r="Y28" s="17"/>
      <c r="Z28" s="17"/>
      <c r="AA28" s="17"/>
      <c r="AB28" s="9" t="str">
        <f aca="false">IF(J28="","",IF(S28="",J28,IF(J28=S28,J28,"DISCUSS")))</f>
        <v/>
      </c>
      <c r="AC28" s="9" t="str">
        <f aca="false">IF(K28="","",IF(T28="",K28,IF(K28=T28,K28,"DISCUSS")))</f>
        <v/>
      </c>
      <c r="AD28" s="9" t="str">
        <f aca="false">IF(L28="","",IF(U28="",L28,IF(L28=U28,L28,"DISCUSS")))</f>
        <v/>
      </c>
      <c r="AE28" s="9" t="str">
        <f aca="false">IF(M28="","",IF(V28="",M28,IF(M28=V28,M28,"DISCUSS")))</f>
        <v/>
      </c>
      <c r="AF28" s="9" t="str">
        <f aca="false">IF(N28="","",IF(W28="",N28,IF(N28=W28,N28,"DISCUSS")))</f>
        <v/>
      </c>
      <c r="AG28" s="9" t="str">
        <f aca="false">IF(O28="","",IF(X28="",O28,IF(O28=X28,O28,"DISCUSS")))</f>
        <v/>
      </c>
      <c r="AH28" s="9" t="str">
        <f aca="false">IF(P28="","",IF(Y28="",P28,IF(P28=Y28,P28,"DISCUSS")))</f>
        <v/>
      </c>
      <c r="AI28" s="9" t="str">
        <f aca="false">IF(Q28="","",IF(Z28="",Q28,IF(Q28=Z28,Q28,"DISCUSS")))</f>
        <v/>
      </c>
      <c r="AJ28" s="9" t="str">
        <f aca="false">IF(R28="","",IF(AA28="",R28,IF(R28=AA28,R28,"DISCUSS")))</f>
        <v/>
      </c>
      <c r="AK28" s="18" t="str">
        <f aca="false">IFERROR(AVERAGE(AB28:AJ28),"")</f>
        <v/>
      </c>
      <c r="AL28" s="9" t="n">
        <f aca="false">COUNT(AB28:AJ28)</f>
        <v>0</v>
      </c>
      <c r="AM28" s="9" t="n">
        <f aca="false">COUNTIF(AB28:AJ28,"DISCUSS")</f>
        <v>0</v>
      </c>
      <c r="AN28" s="9" t="str">
        <f aca="false">IF(AL28=0,"",IF(AM28&gt;0,"Resolve DISCUSS",IF(AL28&lt;Tiers!$B$6,"Unrated",IF(AK28&gt;=Tiers!$B$4,"High",IF(AK28&gt;=Tiers!$B$5,"Medium","Low")))))</f>
        <v/>
      </c>
      <c r="AO28" s="9" t="str">
        <f aca="false">IF(OR(AN28="",AN28="Unrated",AN28="Resolve DISCUSS"),"",COUNTIFS($AN$6:$AN$105,AN28,$AK$6:$AK$105,"&gt;"&amp;AK28)+1)</f>
        <v/>
      </c>
      <c r="AP28" s="12"/>
    </row>
    <row r="29" customFormat="false" ht="23.85" hidden="false" customHeight="false" outlineLevel="0" collapsed="false">
      <c r="A29" s="15" t="s">
        <v>304</v>
      </c>
      <c r="B29" s="3" t="s">
        <v>305</v>
      </c>
      <c r="C29" s="16" t="n">
        <v>2026</v>
      </c>
      <c r="D29" s="16" t="s">
        <v>70</v>
      </c>
      <c r="E29" s="12" t="s">
        <v>723</v>
      </c>
      <c r="F29" s="17" t="s">
        <v>118</v>
      </c>
      <c r="G29" s="17" t="s">
        <v>731</v>
      </c>
      <c r="H29" s="12"/>
      <c r="I29" s="17" t="s">
        <v>726</v>
      </c>
      <c r="J29" s="17"/>
      <c r="K29" s="17"/>
      <c r="L29" s="17"/>
      <c r="M29" s="17"/>
      <c r="N29" s="17"/>
      <c r="O29" s="17"/>
      <c r="P29" s="17"/>
      <c r="Q29" s="17"/>
      <c r="R29" s="17"/>
      <c r="S29" s="17"/>
      <c r="T29" s="17"/>
      <c r="U29" s="17"/>
      <c r="V29" s="17"/>
      <c r="W29" s="17"/>
      <c r="X29" s="17"/>
      <c r="Y29" s="17"/>
      <c r="Z29" s="17"/>
      <c r="AA29" s="17"/>
      <c r="AB29" s="9" t="str">
        <f aca="false">IF(J29="","",IF(S29="",J29,IF(J29=S29,J29,"DISCUSS")))</f>
        <v/>
      </c>
      <c r="AC29" s="9" t="str">
        <f aca="false">IF(K29="","",IF(T29="",K29,IF(K29=T29,K29,"DISCUSS")))</f>
        <v/>
      </c>
      <c r="AD29" s="9" t="str">
        <f aca="false">IF(L29="","",IF(U29="",L29,IF(L29=U29,L29,"DISCUSS")))</f>
        <v/>
      </c>
      <c r="AE29" s="9" t="str">
        <f aca="false">IF(M29="","",IF(V29="",M29,IF(M29=V29,M29,"DISCUSS")))</f>
        <v/>
      </c>
      <c r="AF29" s="9" t="str">
        <f aca="false">IF(N29="","",IF(W29="",N29,IF(N29=W29,N29,"DISCUSS")))</f>
        <v/>
      </c>
      <c r="AG29" s="9" t="str">
        <f aca="false">IF(O29="","",IF(X29="",O29,IF(O29=X29,O29,"DISCUSS")))</f>
        <v/>
      </c>
      <c r="AH29" s="9" t="str">
        <f aca="false">IF(P29="","",IF(Y29="",P29,IF(P29=Y29,P29,"DISCUSS")))</f>
        <v/>
      </c>
      <c r="AI29" s="9" t="str">
        <f aca="false">IF(Q29="","",IF(Z29="",Q29,IF(Q29=Z29,Q29,"DISCUSS")))</f>
        <v/>
      </c>
      <c r="AJ29" s="9" t="str">
        <f aca="false">IF(R29="","",IF(AA29="",R29,IF(R29=AA29,R29,"DISCUSS")))</f>
        <v/>
      </c>
      <c r="AK29" s="18" t="str">
        <f aca="false">IFERROR(AVERAGE(AB29:AJ29),"")</f>
        <v/>
      </c>
      <c r="AL29" s="9" t="n">
        <f aca="false">COUNT(AB29:AJ29)</f>
        <v>0</v>
      </c>
      <c r="AM29" s="9" t="n">
        <f aca="false">COUNTIF(AB29:AJ29,"DISCUSS")</f>
        <v>0</v>
      </c>
      <c r="AN29" s="9" t="str">
        <f aca="false">IF(AL29=0,"",IF(AM29&gt;0,"Resolve DISCUSS",IF(AL29&lt;Tiers!$B$6,"Unrated",IF(AK29&gt;=Tiers!$B$4,"High",IF(AK29&gt;=Tiers!$B$5,"Medium","Low")))))</f>
        <v/>
      </c>
      <c r="AO29" s="9" t="str">
        <f aca="false">IF(OR(AN29="",AN29="Unrated",AN29="Resolve DISCUSS"),"",COUNTIFS($AN$6:$AN$105,AN29,$AK$6:$AK$105,"&gt;"&amp;AK29)+1)</f>
        <v/>
      </c>
      <c r="AP29" s="12"/>
    </row>
    <row r="30" customFormat="false" ht="23.85" hidden="false" customHeight="false" outlineLevel="0" collapsed="false">
      <c r="A30" s="15" t="s">
        <v>310</v>
      </c>
      <c r="B30" s="3" t="s">
        <v>311</v>
      </c>
      <c r="C30" s="16" t="n">
        <v>2026</v>
      </c>
      <c r="D30" s="16" t="s">
        <v>70</v>
      </c>
      <c r="E30" s="12" t="s">
        <v>723</v>
      </c>
      <c r="F30" s="17" t="s">
        <v>724</v>
      </c>
      <c r="G30" s="17" t="s">
        <v>731</v>
      </c>
      <c r="H30" s="12"/>
      <c r="I30" s="17" t="s">
        <v>726</v>
      </c>
      <c r="J30" s="17"/>
      <c r="K30" s="17"/>
      <c r="L30" s="17"/>
      <c r="M30" s="17"/>
      <c r="N30" s="17"/>
      <c r="O30" s="17"/>
      <c r="P30" s="17"/>
      <c r="Q30" s="17"/>
      <c r="R30" s="17"/>
      <c r="S30" s="17"/>
      <c r="T30" s="17"/>
      <c r="U30" s="17"/>
      <c r="V30" s="17"/>
      <c r="W30" s="17"/>
      <c r="X30" s="17"/>
      <c r="Y30" s="17"/>
      <c r="Z30" s="17"/>
      <c r="AA30" s="17"/>
      <c r="AB30" s="9" t="str">
        <f aca="false">IF(J30="","",IF(S30="",J30,IF(J30=S30,J30,"DISCUSS")))</f>
        <v/>
      </c>
      <c r="AC30" s="9" t="str">
        <f aca="false">IF(K30="","",IF(T30="",K30,IF(K30=T30,K30,"DISCUSS")))</f>
        <v/>
      </c>
      <c r="AD30" s="9" t="str">
        <f aca="false">IF(L30="","",IF(U30="",L30,IF(L30=U30,L30,"DISCUSS")))</f>
        <v/>
      </c>
      <c r="AE30" s="9" t="str">
        <f aca="false">IF(M30="","",IF(V30="",M30,IF(M30=V30,M30,"DISCUSS")))</f>
        <v/>
      </c>
      <c r="AF30" s="9" t="str">
        <f aca="false">IF(N30="","",IF(W30="",N30,IF(N30=W30,N30,"DISCUSS")))</f>
        <v/>
      </c>
      <c r="AG30" s="9" t="str">
        <f aca="false">IF(O30="","",IF(X30="",O30,IF(O30=X30,O30,"DISCUSS")))</f>
        <v/>
      </c>
      <c r="AH30" s="9" t="str">
        <f aca="false">IF(P30="","",IF(Y30="",P30,IF(P30=Y30,P30,"DISCUSS")))</f>
        <v/>
      </c>
      <c r="AI30" s="9" t="str">
        <f aca="false">IF(Q30="","",IF(Z30="",Q30,IF(Q30=Z30,Q30,"DISCUSS")))</f>
        <v/>
      </c>
      <c r="AJ30" s="9" t="str">
        <f aca="false">IF(R30="","",IF(AA30="",R30,IF(R30=AA30,R30,"DISCUSS")))</f>
        <v/>
      </c>
      <c r="AK30" s="18" t="str">
        <f aca="false">IFERROR(AVERAGE(AB30:AJ30),"")</f>
        <v/>
      </c>
      <c r="AL30" s="9" t="n">
        <f aca="false">COUNT(AB30:AJ30)</f>
        <v>0</v>
      </c>
      <c r="AM30" s="9" t="n">
        <f aca="false">COUNTIF(AB30:AJ30,"DISCUSS")</f>
        <v>0</v>
      </c>
      <c r="AN30" s="9" t="str">
        <f aca="false">IF(AL30=0,"",IF(AM30&gt;0,"Resolve DISCUSS",IF(AL30&lt;Tiers!$B$6,"Unrated",IF(AK30&gt;=Tiers!$B$4,"High",IF(AK30&gt;=Tiers!$B$5,"Medium","Low")))))</f>
        <v/>
      </c>
      <c r="AO30" s="9" t="str">
        <f aca="false">IF(OR(AN30="",AN30="Unrated",AN30="Resolve DISCUSS"),"",COUNTIFS($AN$6:$AN$105,AN30,$AK$6:$AK$105,"&gt;"&amp;AK30)+1)</f>
        <v/>
      </c>
      <c r="AP30" s="12"/>
    </row>
    <row r="31" customFormat="false" ht="23.85" hidden="false" customHeight="false" outlineLevel="0" collapsed="false">
      <c r="A31" s="15" t="s">
        <v>316</v>
      </c>
      <c r="B31" s="3" t="s">
        <v>317</v>
      </c>
      <c r="C31" s="16" t="n">
        <v>2026</v>
      </c>
      <c r="D31" s="16" t="s">
        <v>70</v>
      </c>
      <c r="E31" s="12" t="s">
        <v>728</v>
      </c>
      <c r="F31" s="17" t="s">
        <v>118</v>
      </c>
      <c r="G31" s="17" t="s">
        <v>731</v>
      </c>
      <c r="H31" s="12"/>
      <c r="I31" s="17" t="s">
        <v>726</v>
      </c>
      <c r="J31" s="17"/>
      <c r="K31" s="17"/>
      <c r="L31" s="17"/>
      <c r="M31" s="17"/>
      <c r="N31" s="17"/>
      <c r="O31" s="17"/>
      <c r="P31" s="17"/>
      <c r="Q31" s="17"/>
      <c r="R31" s="17"/>
      <c r="S31" s="17"/>
      <c r="T31" s="17"/>
      <c r="U31" s="17"/>
      <c r="V31" s="17"/>
      <c r="W31" s="17"/>
      <c r="X31" s="17"/>
      <c r="Y31" s="17"/>
      <c r="Z31" s="17"/>
      <c r="AA31" s="17"/>
      <c r="AB31" s="9" t="str">
        <f aca="false">IF(J31="","",IF(S31="",J31,IF(J31=S31,J31,"DISCUSS")))</f>
        <v/>
      </c>
      <c r="AC31" s="9" t="str">
        <f aca="false">IF(K31="","",IF(T31="",K31,IF(K31=T31,K31,"DISCUSS")))</f>
        <v/>
      </c>
      <c r="AD31" s="9" t="str">
        <f aca="false">IF(L31="","",IF(U31="",L31,IF(L31=U31,L31,"DISCUSS")))</f>
        <v/>
      </c>
      <c r="AE31" s="9" t="str">
        <f aca="false">IF(M31="","",IF(V31="",M31,IF(M31=V31,M31,"DISCUSS")))</f>
        <v/>
      </c>
      <c r="AF31" s="9" t="str">
        <f aca="false">IF(N31="","",IF(W31="",N31,IF(N31=W31,N31,"DISCUSS")))</f>
        <v/>
      </c>
      <c r="AG31" s="9" t="str">
        <f aca="false">IF(O31="","",IF(X31="",O31,IF(O31=X31,O31,"DISCUSS")))</f>
        <v/>
      </c>
      <c r="AH31" s="9" t="str">
        <f aca="false">IF(P31="","",IF(Y31="",P31,IF(P31=Y31,P31,"DISCUSS")))</f>
        <v/>
      </c>
      <c r="AI31" s="9" t="str">
        <f aca="false">IF(Q31="","",IF(Z31="",Q31,IF(Q31=Z31,Q31,"DISCUSS")))</f>
        <v/>
      </c>
      <c r="AJ31" s="9" t="str">
        <f aca="false">IF(R31="","",IF(AA31="",R31,IF(R31=AA31,R31,"DISCUSS")))</f>
        <v/>
      </c>
      <c r="AK31" s="18" t="str">
        <f aca="false">IFERROR(AVERAGE(AB31:AJ31),"")</f>
        <v/>
      </c>
      <c r="AL31" s="9" t="n">
        <f aca="false">COUNT(AB31:AJ31)</f>
        <v>0</v>
      </c>
      <c r="AM31" s="9" t="n">
        <f aca="false">COUNTIF(AB31:AJ31,"DISCUSS")</f>
        <v>0</v>
      </c>
      <c r="AN31" s="9" t="str">
        <f aca="false">IF(AL31=0,"",IF(AM31&gt;0,"Resolve DISCUSS",IF(AL31&lt;Tiers!$B$6,"Unrated",IF(AK31&gt;=Tiers!$B$4,"High",IF(AK31&gt;=Tiers!$B$5,"Medium","Low")))))</f>
        <v/>
      </c>
      <c r="AO31" s="9" t="str">
        <f aca="false">IF(OR(AN31="",AN31="Unrated",AN31="Resolve DISCUSS"),"",COUNTIFS($AN$6:$AN$105,AN31,$AK$6:$AK$105,"&gt;"&amp;AK31)+1)</f>
        <v/>
      </c>
      <c r="AP31" s="12"/>
    </row>
    <row r="32" customFormat="false" ht="23.85" hidden="false" customHeight="false" outlineLevel="0" collapsed="false">
      <c r="A32" s="15" t="s">
        <v>326</v>
      </c>
      <c r="B32" s="3" t="s">
        <v>327</v>
      </c>
      <c r="C32" s="16" t="n">
        <v>2020</v>
      </c>
      <c r="D32" s="16" t="s">
        <v>70</v>
      </c>
      <c r="E32" s="12" t="s">
        <v>728</v>
      </c>
      <c r="F32" s="17" t="s">
        <v>724</v>
      </c>
      <c r="G32" s="17" t="s">
        <v>731</v>
      </c>
      <c r="H32" s="12"/>
      <c r="I32" s="17" t="s">
        <v>726</v>
      </c>
      <c r="J32" s="17"/>
      <c r="K32" s="17"/>
      <c r="L32" s="17"/>
      <c r="M32" s="17"/>
      <c r="N32" s="17"/>
      <c r="O32" s="17"/>
      <c r="P32" s="17"/>
      <c r="Q32" s="17"/>
      <c r="R32" s="17"/>
      <c r="S32" s="17"/>
      <c r="T32" s="17"/>
      <c r="U32" s="17"/>
      <c r="V32" s="17"/>
      <c r="W32" s="17"/>
      <c r="X32" s="17"/>
      <c r="Y32" s="17"/>
      <c r="Z32" s="17"/>
      <c r="AA32" s="17"/>
      <c r="AB32" s="9" t="str">
        <f aca="false">IF(J32="","",IF(S32="",J32,IF(J32=S32,J32,"DISCUSS")))</f>
        <v/>
      </c>
      <c r="AC32" s="9" t="str">
        <f aca="false">IF(K32="","",IF(T32="",K32,IF(K32=T32,K32,"DISCUSS")))</f>
        <v/>
      </c>
      <c r="AD32" s="9" t="str">
        <f aca="false">IF(L32="","",IF(U32="",L32,IF(L32=U32,L32,"DISCUSS")))</f>
        <v/>
      </c>
      <c r="AE32" s="9" t="str">
        <f aca="false">IF(M32="","",IF(V32="",M32,IF(M32=V32,M32,"DISCUSS")))</f>
        <v/>
      </c>
      <c r="AF32" s="9" t="str">
        <f aca="false">IF(N32="","",IF(W32="",N32,IF(N32=W32,N32,"DISCUSS")))</f>
        <v/>
      </c>
      <c r="AG32" s="9" t="str">
        <f aca="false">IF(O32="","",IF(X32="",O32,IF(O32=X32,O32,"DISCUSS")))</f>
        <v/>
      </c>
      <c r="AH32" s="9" t="str">
        <f aca="false">IF(P32="","",IF(Y32="",P32,IF(P32=Y32,P32,"DISCUSS")))</f>
        <v/>
      </c>
      <c r="AI32" s="9" t="str">
        <f aca="false">IF(Q32="","",IF(Z32="",Q32,IF(Q32=Z32,Q32,"DISCUSS")))</f>
        <v/>
      </c>
      <c r="AJ32" s="9" t="str">
        <f aca="false">IF(R32="","",IF(AA32="",R32,IF(R32=AA32,R32,"DISCUSS")))</f>
        <v/>
      </c>
      <c r="AK32" s="18" t="str">
        <f aca="false">IFERROR(AVERAGE(AB32:AJ32),"")</f>
        <v/>
      </c>
      <c r="AL32" s="9" t="n">
        <f aca="false">COUNT(AB32:AJ32)</f>
        <v>0</v>
      </c>
      <c r="AM32" s="9" t="n">
        <f aca="false">COUNTIF(AB32:AJ32,"DISCUSS")</f>
        <v>0</v>
      </c>
      <c r="AN32" s="9" t="str">
        <f aca="false">IF(AL32=0,"",IF(AM32&gt;0,"Resolve DISCUSS",IF(AL32&lt;Tiers!$B$6,"Unrated",IF(AK32&gt;=Tiers!$B$4,"High",IF(AK32&gt;=Tiers!$B$5,"Medium","Low")))))</f>
        <v/>
      </c>
      <c r="AO32" s="9" t="str">
        <f aca="false">IF(OR(AN32="",AN32="Unrated",AN32="Resolve DISCUSS"),"",COUNTIFS($AN$6:$AN$105,AN32,$AK$6:$AK$105,"&gt;"&amp;AK32)+1)</f>
        <v/>
      </c>
      <c r="AP32" s="12"/>
    </row>
    <row r="33" customFormat="false" ht="35.05" hidden="false" customHeight="false" outlineLevel="0" collapsed="false">
      <c r="A33" s="15" t="s">
        <v>401</v>
      </c>
      <c r="B33" s="3" t="s">
        <v>402</v>
      </c>
      <c r="C33" s="16" t="n">
        <v>2026</v>
      </c>
      <c r="D33" s="16" t="s">
        <v>70</v>
      </c>
      <c r="E33" s="12" t="s">
        <v>732</v>
      </c>
      <c r="F33" s="17" t="s">
        <v>724</v>
      </c>
      <c r="G33" s="17" t="s">
        <v>731</v>
      </c>
      <c r="H33" s="12"/>
      <c r="I33" s="17" t="s">
        <v>726</v>
      </c>
      <c r="J33" s="17"/>
      <c r="K33" s="17"/>
      <c r="L33" s="17"/>
      <c r="M33" s="17"/>
      <c r="N33" s="17"/>
      <c r="O33" s="17"/>
      <c r="P33" s="17"/>
      <c r="Q33" s="17"/>
      <c r="R33" s="17"/>
      <c r="S33" s="17"/>
      <c r="T33" s="17"/>
      <c r="U33" s="17"/>
      <c r="V33" s="17"/>
      <c r="W33" s="17"/>
      <c r="X33" s="17"/>
      <c r="Y33" s="17"/>
      <c r="Z33" s="17"/>
      <c r="AA33" s="17"/>
      <c r="AB33" s="9" t="str">
        <f aca="false">IF(J33="","",IF(S33="",J33,IF(J33=S33,J33,"DISCUSS")))</f>
        <v/>
      </c>
      <c r="AC33" s="9" t="str">
        <f aca="false">IF(K33="","",IF(T33="",K33,IF(K33=T33,K33,"DISCUSS")))</f>
        <v/>
      </c>
      <c r="AD33" s="9" t="str">
        <f aca="false">IF(L33="","",IF(U33="",L33,IF(L33=U33,L33,"DISCUSS")))</f>
        <v/>
      </c>
      <c r="AE33" s="9" t="str">
        <f aca="false">IF(M33="","",IF(V33="",M33,IF(M33=V33,M33,"DISCUSS")))</f>
        <v/>
      </c>
      <c r="AF33" s="9" t="str">
        <f aca="false">IF(N33="","",IF(W33="",N33,IF(N33=W33,N33,"DISCUSS")))</f>
        <v/>
      </c>
      <c r="AG33" s="9" t="str">
        <f aca="false">IF(O33="","",IF(X33="",O33,IF(O33=X33,O33,"DISCUSS")))</f>
        <v/>
      </c>
      <c r="AH33" s="9" t="str">
        <f aca="false">IF(P33="","",IF(Y33="",P33,IF(P33=Y33,P33,"DISCUSS")))</f>
        <v/>
      </c>
      <c r="AI33" s="9" t="str">
        <f aca="false">IF(Q33="","",IF(Z33="",Q33,IF(Q33=Z33,Q33,"DISCUSS")))</f>
        <v/>
      </c>
      <c r="AJ33" s="9" t="str">
        <f aca="false">IF(R33="","",IF(AA33="",R33,IF(R33=AA33,R33,"DISCUSS")))</f>
        <v/>
      </c>
      <c r="AK33" s="18" t="str">
        <f aca="false">IFERROR(AVERAGE(AB33:AJ33),"")</f>
        <v/>
      </c>
      <c r="AL33" s="9" t="n">
        <f aca="false">COUNT(AB33:AJ33)</f>
        <v>0</v>
      </c>
      <c r="AM33" s="9" t="n">
        <f aca="false">COUNTIF(AB33:AJ33,"DISCUSS")</f>
        <v>0</v>
      </c>
      <c r="AN33" s="9" t="str">
        <f aca="false">IF(AL33=0,"",IF(AM33&gt;0,"Resolve DISCUSS",IF(AL33&lt;Tiers!$B$6,"Unrated",IF(AK33&gt;=Tiers!$B$4,"High",IF(AK33&gt;=Tiers!$B$5,"Medium","Low")))))</f>
        <v/>
      </c>
      <c r="AO33" s="9" t="str">
        <f aca="false">IF(OR(AN33="",AN33="Unrated",AN33="Resolve DISCUSS"),"",COUNTIFS($AN$6:$AN$105,AN33,$AK$6:$AK$105,"&gt;"&amp;AK33)+1)</f>
        <v/>
      </c>
      <c r="AP33" s="12"/>
    </row>
    <row r="34" customFormat="false" ht="15" hidden="false" customHeight="false" outlineLevel="0" collapsed="false">
      <c r="A34" s="15"/>
      <c r="B34" s="3"/>
      <c r="C34" s="16"/>
      <c r="D34" s="16"/>
      <c r="E34" s="12"/>
      <c r="F34" s="17"/>
      <c r="G34" s="17"/>
      <c r="H34" s="12"/>
      <c r="I34" s="17"/>
      <c r="J34" s="17"/>
      <c r="K34" s="17"/>
      <c r="L34" s="17"/>
      <c r="M34" s="17"/>
      <c r="N34" s="17"/>
      <c r="O34" s="17"/>
      <c r="P34" s="17"/>
      <c r="Q34" s="17"/>
      <c r="R34" s="17"/>
      <c r="S34" s="17"/>
      <c r="T34" s="17"/>
      <c r="U34" s="17"/>
      <c r="V34" s="17"/>
      <c r="W34" s="17"/>
      <c r="X34" s="17"/>
      <c r="Y34" s="17"/>
      <c r="Z34" s="17"/>
      <c r="AA34" s="17"/>
      <c r="AB34" s="9" t="str">
        <f aca="false">IF(J34="","",IF(S34="",J34,IF(J34=S34,J34,"DISCUSS")))</f>
        <v/>
      </c>
      <c r="AC34" s="9" t="str">
        <f aca="false">IF(K34="","",IF(T34="",K34,IF(K34=T34,K34,"DISCUSS")))</f>
        <v/>
      </c>
      <c r="AD34" s="9" t="str">
        <f aca="false">IF(L34="","",IF(U34="",L34,IF(L34=U34,L34,"DISCUSS")))</f>
        <v/>
      </c>
      <c r="AE34" s="9" t="str">
        <f aca="false">IF(M34="","",IF(V34="",M34,IF(M34=V34,M34,"DISCUSS")))</f>
        <v/>
      </c>
      <c r="AF34" s="9" t="str">
        <f aca="false">IF(N34="","",IF(W34="",N34,IF(N34=W34,N34,"DISCUSS")))</f>
        <v/>
      </c>
      <c r="AG34" s="9" t="str">
        <f aca="false">IF(O34="","",IF(X34="",O34,IF(O34=X34,O34,"DISCUSS")))</f>
        <v/>
      </c>
      <c r="AH34" s="9" t="str">
        <f aca="false">IF(P34="","",IF(Y34="",P34,IF(P34=Y34,P34,"DISCUSS")))</f>
        <v/>
      </c>
      <c r="AI34" s="9" t="str">
        <f aca="false">IF(Q34="","",IF(Z34="",Q34,IF(Q34=Z34,Q34,"DISCUSS")))</f>
        <v/>
      </c>
      <c r="AJ34" s="9" t="str">
        <f aca="false">IF(R34="","",IF(AA34="",R34,IF(R34=AA34,R34,"DISCUSS")))</f>
        <v/>
      </c>
      <c r="AK34" s="18" t="str">
        <f aca="false">IFERROR(AVERAGE(AB34:AJ34),"")</f>
        <v/>
      </c>
      <c r="AL34" s="9" t="n">
        <f aca="false">COUNT(AB34:AJ34)</f>
        <v>0</v>
      </c>
      <c r="AM34" s="9" t="n">
        <f aca="false">COUNTIF(AB34:AJ34,"DISCUSS")</f>
        <v>0</v>
      </c>
      <c r="AN34" s="9" t="str">
        <f aca="false">IF(AL34=0,"",IF(AM34&gt;0,"Resolve DISCUSS",IF(AL34&lt;Tiers!$B$6,"Unrated",IF(AK34&gt;=Tiers!$B$4,"High",IF(AK34&gt;=Tiers!$B$5,"Medium","Low")))))</f>
        <v/>
      </c>
      <c r="AO34" s="9" t="str">
        <f aca="false">IF(OR(AN34="",AN34="Unrated",AN34="Resolve DISCUSS"),"",COUNTIFS($AN$6:$AN$105,AN34,$AK$6:$AK$105,"&gt;"&amp;AK34)+1)</f>
        <v/>
      </c>
      <c r="AP34" s="12"/>
    </row>
    <row r="35" customFormat="false" ht="15" hidden="false" customHeight="false" outlineLevel="0" collapsed="false">
      <c r="A35" s="15"/>
      <c r="B35" s="3"/>
      <c r="C35" s="16"/>
      <c r="D35" s="16"/>
      <c r="E35" s="12"/>
      <c r="F35" s="17"/>
      <c r="G35" s="17"/>
      <c r="H35" s="12"/>
      <c r="I35" s="17"/>
      <c r="J35" s="17"/>
      <c r="K35" s="17"/>
      <c r="L35" s="17"/>
      <c r="M35" s="17"/>
      <c r="N35" s="17"/>
      <c r="O35" s="17"/>
      <c r="P35" s="17"/>
      <c r="Q35" s="17"/>
      <c r="R35" s="17"/>
      <c r="S35" s="17"/>
      <c r="T35" s="17"/>
      <c r="U35" s="17"/>
      <c r="V35" s="17"/>
      <c r="W35" s="17"/>
      <c r="X35" s="17"/>
      <c r="Y35" s="17"/>
      <c r="Z35" s="17"/>
      <c r="AA35" s="17"/>
      <c r="AB35" s="9" t="str">
        <f aca="false">IF(J35="","",IF(S35="",J35,IF(J35=S35,J35,"DISCUSS")))</f>
        <v/>
      </c>
      <c r="AC35" s="9" t="str">
        <f aca="false">IF(K35="","",IF(T35="",K35,IF(K35=T35,K35,"DISCUSS")))</f>
        <v/>
      </c>
      <c r="AD35" s="9" t="str">
        <f aca="false">IF(L35="","",IF(U35="",L35,IF(L35=U35,L35,"DISCUSS")))</f>
        <v/>
      </c>
      <c r="AE35" s="9" t="str">
        <f aca="false">IF(M35="","",IF(V35="",M35,IF(M35=V35,M35,"DISCUSS")))</f>
        <v/>
      </c>
      <c r="AF35" s="9" t="str">
        <f aca="false">IF(N35="","",IF(W35="",N35,IF(N35=W35,N35,"DISCUSS")))</f>
        <v/>
      </c>
      <c r="AG35" s="9" t="str">
        <f aca="false">IF(O35="","",IF(X35="",O35,IF(O35=X35,O35,"DISCUSS")))</f>
        <v/>
      </c>
      <c r="AH35" s="9" t="str">
        <f aca="false">IF(P35="","",IF(Y35="",P35,IF(P35=Y35,P35,"DISCUSS")))</f>
        <v/>
      </c>
      <c r="AI35" s="9" t="str">
        <f aca="false">IF(Q35="","",IF(Z35="",Q35,IF(Q35=Z35,Q35,"DISCUSS")))</f>
        <v/>
      </c>
      <c r="AJ35" s="9" t="str">
        <f aca="false">IF(R35="","",IF(AA35="",R35,IF(R35=AA35,R35,"DISCUSS")))</f>
        <v/>
      </c>
      <c r="AK35" s="18" t="str">
        <f aca="false">IFERROR(AVERAGE(AB35:AJ35),"")</f>
        <v/>
      </c>
      <c r="AL35" s="9" t="n">
        <f aca="false">COUNT(AB35:AJ35)</f>
        <v>0</v>
      </c>
      <c r="AM35" s="9" t="n">
        <f aca="false">COUNTIF(AB35:AJ35,"DISCUSS")</f>
        <v>0</v>
      </c>
      <c r="AN35" s="9" t="str">
        <f aca="false">IF(AL35=0,"",IF(AM35&gt;0,"Resolve DISCUSS",IF(AL35&lt;Tiers!$B$6,"Unrated",IF(AK35&gt;=Tiers!$B$4,"High",IF(AK35&gt;=Tiers!$B$5,"Medium","Low")))))</f>
        <v/>
      </c>
      <c r="AO35" s="9" t="str">
        <f aca="false">IF(OR(AN35="",AN35="Unrated",AN35="Resolve DISCUSS"),"",COUNTIFS($AN$6:$AN$105,AN35,$AK$6:$AK$105,"&gt;"&amp;AK35)+1)</f>
        <v/>
      </c>
      <c r="AP35" s="12"/>
    </row>
    <row r="36" customFormat="false" ht="15" hidden="false" customHeight="false" outlineLevel="0" collapsed="false">
      <c r="A36" s="15"/>
      <c r="B36" s="3"/>
      <c r="C36" s="16"/>
      <c r="D36" s="16"/>
      <c r="E36" s="12"/>
      <c r="F36" s="17"/>
      <c r="G36" s="17"/>
      <c r="H36" s="12"/>
      <c r="I36" s="17"/>
      <c r="J36" s="17"/>
      <c r="K36" s="17"/>
      <c r="L36" s="17"/>
      <c r="M36" s="17"/>
      <c r="N36" s="17"/>
      <c r="O36" s="17"/>
      <c r="P36" s="17"/>
      <c r="Q36" s="17"/>
      <c r="R36" s="17"/>
      <c r="S36" s="17"/>
      <c r="T36" s="17"/>
      <c r="U36" s="17"/>
      <c r="V36" s="17"/>
      <c r="W36" s="17"/>
      <c r="X36" s="17"/>
      <c r="Y36" s="17"/>
      <c r="Z36" s="17"/>
      <c r="AA36" s="17"/>
      <c r="AB36" s="9" t="str">
        <f aca="false">IF(J36="","",IF(S36="",J36,IF(J36=S36,J36,"DISCUSS")))</f>
        <v/>
      </c>
      <c r="AC36" s="9" t="str">
        <f aca="false">IF(K36="","",IF(T36="",K36,IF(K36=T36,K36,"DISCUSS")))</f>
        <v/>
      </c>
      <c r="AD36" s="9" t="str">
        <f aca="false">IF(L36="","",IF(U36="",L36,IF(L36=U36,L36,"DISCUSS")))</f>
        <v/>
      </c>
      <c r="AE36" s="9" t="str">
        <f aca="false">IF(M36="","",IF(V36="",M36,IF(M36=V36,M36,"DISCUSS")))</f>
        <v/>
      </c>
      <c r="AF36" s="9" t="str">
        <f aca="false">IF(N36="","",IF(W36="",N36,IF(N36=W36,N36,"DISCUSS")))</f>
        <v/>
      </c>
      <c r="AG36" s="9" t="str">
        <f aca="false">IF(O36="","",IF(X36="",O36,IF(O36=X36,O36,"DISCUSS")))</f>
        <v/>
      </c>
      <c r="AH36" s="9" t="str">
        <f aca="false">IF(P36="","",IF(Y36="",P36,IF(P36=Y36,P36,"DISCUSS")))</f>
        <v/>
      </c>
      <c r="AI36" s="9" t="str">
        <f aca="false">IF(Q36="","",IF(Z36="",Q36,IF(Q36=Z36,Q36,"DISCUSS")))</f>
        <v/>
      </c>
      <c r="AJ36" s="9" t="str">
        <f aca="false">IF(R36="","",IF(AA36="",R36,IF(R36=AA36,R36,"DISCUSS")))</f>
        <v/>
      </c>
      <c r="AK36" s="18" t="str">
        <f aca="false">IFERROR(AVERAGE(AB36:AJ36),"")</f>
        <v/>
      </c>
      <c r="AL36" s="9" t="n">
        <f aca="false">COUNT(AB36:AJ36)</f>
        <v>0</v>
      </c>
      <c r="AM36" s="9" t="n">
        <f aca="false">COUNTIF(AB36:AJ36,"DISCUSS")</f>
        <v>0</v>
      </c>
      <c r="AN36" s="9" t="str">
        <f aca="false">IF(AL36=0,"",IF(AM36&gt;0,"Resolve DISCUSS",IF(AL36&lt;Tiers!$B$6,"Unrated",IF(AK36&gt;=Tiers!$B$4,"High",IF(AK36&gt;=Tiers!$B$5,"Medium","Low")))))</f>
        <v/>
      </c>
      <c r="AO36" s="9" t="str">
        <f aca="false">IF(OR(AN36="",AN36="Unrated",AN36="Resolve DISCUSS"),"",COUNTIFS($AN$6:$AN$105,AN36,$AK$6:$AK$105,"&gt;"&amp;AK36)+1)</f>
        <v/>
      </c>
      <c r="AP36" s="12"/>
    </row>
    <row r="37" customFormat="false" ht="15" hidden="false" customHeight="false" outlineLevel="0" collapsed="false">
      <c r="A37" s="15"/>
      <c r="B37" s="3"/>
      <c r="C37" s="16"/>
      <c r="D37" s="16"/>
      <c r="E37" s="12"/>
      <c r="F37" s="17"/>
      <c r="G37" s="17"/>
      <c r="H37" s="12"/>
      <c r="I37" s="17"/>
      <c r="J37" s="17"/>
      <c r="K37" s="17"/>
      <c r="L37" s="17"/>
      <c r="M37" s="17"/>
      <c r="N37" s="17"/>
      <c r="O37" s="17"/>
      <c r="P37" s="17"/>
      <c r="Q37" s="17"/>
      <c r="R37" s="17"/>
      <c r="S37" s="17"/>
      <c r="T37" s="17"/>
      <c r="U37" s="17"/>
      <c r="V37" s="17"/>
      <c r="W37" s="17"/>
      <c r="X37" s="17"/>
      <c r="Y37" s="17"/>
      <c r="Z37" s="17"/>
      <c r="AA37" s="17"/>
      <c r="AB37" s="9" t="str">
        <f aca="false">IF(J37="","",IF(S37="",J37,IF(J37=S37,J37,"DISCUSS")))</f>
        <v/>
      </c>
      <c r="AC37" s="9" t="str">
        <f aca="false">IF(K37="","",IF(T37="",K37,IF(K37=T37,K37,"DISCUSS")))</f>
        <v/>
      </c>
      <c r="AD37" s="9" t="str">
        <f aca="false">IF(L37="","",IF(U37="",L37,IF(L37=U37,L37,"DISCUSS")))</f>
        <v/>
      </c>
      <c r="AE37" s="9" t="str">
        <f aca="false">IF(M37="","",IF(V37="",M37,IF(M37=V37,M37,"DISCUSS")))</f>
        <v/>
      </c>
      <c r="AF37" s="9" t="str">
        <f aca="false">IF(N37="","",IF(W37="",N37,IF(N37=W37,N37,"DISCUSS")))</f>
        <v/>
      </c>
      <c r="AG37" s="9" t="str">
        <f aca="false">IF(O37="","",IF(X37="",O37,IF(O37=X37,O37,"DISCUSS")))</f>
        <v/>
      </c>
      <c r="AH37" s="9" t="str">
        <f aca="false">IF(P37="","",IF(Y37="",P37,IF(P37=Y37,P37,"DISCUSS")))</f>
        <v/>
      </c>
      <c r="AI37" s="9" t="str">
        <f aca="false">IF(Q37="","",IF(Z37="",Q37,IF(Q37=Z37,Q37,"DISCUSS")))</f>
        <v/>
      </c>
      <c r="AJ37" s="9" t="str">
        <f aca="false">IF(R37="","",IF(AA37="",R37,IF(R37=AA37,R37,"DISCUSS")))</f>
        <v/>
      </c>
      <c r="AK37" s="18" t="str">
        <f aca="false">IFERROR(AVERAGE(AB37:AJ37),"")</f>
        <v/>
      </c>
      <c r="AL37" s="9" t="n">
        <f aca="false">COUNT(AB37:AJ37)</f>
        <v>0</v>
      </c>
      <c r="AM37" s="9" t="n">
        <f aca="false">COUNTIF(AB37:AJ37,"DISCUSS")</f>
        <v>0</v>
      </c>
      <c r="AN37" s="9" t="str">
        <f aca="false">IF(AL37=0,"",IF(AM37&gt;0,"Resolve DISCUSS",IF(AL37&lt;Tiers!$B$6,"Unrated",IF(AK37&gt;=Tiers!$B$4,"High",IF(AK37&gt;=Tiers!$B$5,"Medium","Low")))))</f>
        <v/>
      </c>
      <c r="AO37" s="9" t="str">
        <f aca="false">IF(OR(AN37="",AN37="Unrated",AN37="Resolve DISCUSS"),"",COUNTIFS($AN$6:$AN$105,AN37,$AK$6:$AK$105,"&gt;"&amp;AK37)+1)</f>
        <v/>
      </c>
      <c r="AP37" s="12"/>
    </row>
    <row r="38" customFormat="false" ht="15" hidden="false" customHeight="false" outlineLevel="0" collapsed="false">
      <c r="A38" s="15"/>
      <c r="B38" s="3"/>
      <c r="C38" s="16"/>
      <c r="D38" s="16"/>
      <c r="E38" s="12"/>
      <c r="F38" s="17"/>
      <c r="G38" s="17"/>
      <c r="H38" s="12"/>
      <c r="I38" s="17"/>
      <c r="J38" s="17"/>
      <c r="K38" s="17"/>
      <c r="L38" s="17"/>
      <c r="M38" s="17"/>
      <c r="N38" s="17"/>
      <c r="O38" s="17"/>
      <c r="P38" s="17"/>
      <c r="Q38" s="17"/>
      <c r="R38" s="17"/>
      <c r="S38" s="17"/>
      <c r="T38" s="17"/>
      <c r="U38" s="17"/>
      <c r="V38" s="17"/>
      <c r="W38" s="17"/>
      <c r="X38" s="17"/>
      <c r="Y38" s="17"/>
      <c r="Z38" s="17"/>
      <c r="AA38" s="17"/>
      <c r="AB38" s="9" t="str">
        <f aca="false">IF(J38="","",IF(S38="",J38,IF(J38=S38,J38,"DISCUSS")))</f>
        <v/>
      </c>
      <c r="AC38" s="9" t="str">
        <f aca="false">IF(K38="","",IF(T38="",K38,IF(K38=T38,K38,"DISCUSS")))</f>
        <v/>
      </c>
      <c r="AD38" s="9" t="str">
        <f aca="false">IF(L38="","",IF(U38="",L38,IF(L38=U38,L38,"DISCUSS")))</f>
        <v/>
      </c>
      <c r="AE38" s="9" t="str">
        <f aca="false">IF(M38="","",IF(V38="",M38,IF(M38=V38,M38,"DISCUSS")))</f>
        <v/>
      </c>
      <c r="AF38" s="9" t="str">
        <f aca="false">IF(N38="","",IF(W38="",N38,IF(N38=W38,N38,"DISCUSS")))</f>
        <v/>
      </c>
      <c r="AG38" s="9" t="str">
        <f aca="false">IF(O38="","",IF(X38="",O38,IF(O38=X38,O38,"DISCUSS")))</f>
        <v/>
      </c>
      <c r="AH38" s="9" t="str">
        <f aca="false">IF(P38="","",IF(Y38="",P38,IF(P38=Y38,P38,"DISCUSS")))</f>
        <v/>
      </c>
      <c r="AI38" s="9" t="str">
        <f aca="false">IF(Q38="","",IF(Z38="",Q38,IF(Q38=Z38,Q38,"DISCUSS")))</f>
        <v/>
      </c>
      <c r="AJ38" s="9" t="str">
        <f aca="false">IF(R38="","",IF(AA38="",R38,IF(R38=AA38,R38,"DISCUSS")))</f>
        <v/>
      </c>
      <c r="AK38" s="18" t="str">
        <f aca="false">IFERROR(AVERAGE(AB38:AJ38),"")</f>
        <v/>
      </c>
      <c r="AL38" s="9" t="n">
        <f aca="false">COUNT(AB38:AJ38)</f>
        <v>0</v>
      </c>
      <c r="AM38" s="9" t="n">
        <f aca="false">COUNTIF(AB38:AJ38,"DISCUSS")</f>
        <v>0</v>
      </c>
      <c r="AN38" s="9" t="str">
        <f aca="false">IF(AL38=0,"",IF(AM38&gt;0,"Resolve DISCUSS",IF(AL38&lt;Tiers!$B$6,"Unrated",IF(AK38&gt;=Tiers!$B$4,"High",IF(AK38&gt;=Tiers!$B$5,"Medium","Low")))))</f>
        <v/>
      </c>
      <c r="AO38" s="9" t="str">
        <f aca="false">IF(OR(AN38="",AN38="Unrated",AN38="Resolve DISCUSS"),"",COUNTIFS($AN$6:$AN$105,AN38,$AK$6:$AK$105,"&gt;"&amp;AK38)+1)</f>
        <v/>
      </c>
      <c r="AP38" s="12"/>
    </row>
    <row r="39" customFormat="false" ht="15" hidden="false" customHeight="false" outlineLevel="0" collapsed="false">
      <c r="A39" s="15"/>
      <c r="B39" s="3"/>
      <c r="C39" s="16"/>
      <c r="D39" s="16"/>
      <c r="E39" s="12"/>
      <c r="F39" s="17"/>
      <c r="G39" s="17"/>
      <c r="H39" s="12"/>
      <c r="I39" s="17"/>
      <c r="J39" s="17"/>
      <c r="K39" s="17"/>
      <c r="L39" s="17"/>
      <c r="M39" s="17"/>
      <c r="N39" s="17"/>
      <c r="O39" s="17"/>
      <c r="P39" s="17"/>
      <c r="Q39" s="17"/>
      <c r="R39" s="17"/>
      <c r="S39" s="17"/>
      <c r="T39" s="17"/>
      <c r="U39" s="17"/>
      <c r="V39" s="17"/>
      <c r="W39" s="17"/>
      <c r="X39" s="17"/>
      <c r="Y39" s="17"/>
      <c r="Z39" s="17"/>
      <c r="AA39" s="17"/>
      <c r="AB39" s="9" t="str">
        <f aca="false">IF(J39="","",IF(S39="",J39,IF(J39=S39,J39,"DISCUSS")))</f>
        <v/>
      </c>
      <c r="AC39" s="9" t="str">
        <f aca="false">IF(K39="","",IF(T39="",K39,IF(K39=T39,K39,"DISCUSS")))</f>
        <v/>
      </c>
      <c r="AD39" s="9" t="str">
        <f aca="false">IF(L39="","",IF(U39="",L39,IF(L39=U39,L39,"DISCUSS")))</f>
        <v/>
      </c>
      <c r="AE39" s="9" t="str">
        <f aca="false">IF(M39="","",IF(V39="",M39,IF(M39=V39,M39,"DISCUSS")))</f>
        <v/>
      </c>
      <c r="AF39" s="9" t="str">
        <f aca="false">IF(N39="","",IF(W39="",N39,IF(N39=W39,N39,"DISCUSS")))</f>
        <v/>
      </c>
      <c r="AG39" s="9" t="str">
        <f aca="false">IF(O39="","",IF(X39="",O39,IF(O39=X39,O39,"DISCUSS")))</f>
        <v/>
      </c>
      <c r="AH39" s="9" t="str">
        <f aca="false">IF(P39="","",IF(Y39="",P39,IF(P39=Y39,P39,"DISCUSS")))</f>
        <v/>
      </c>
      <c r="AI39" s="9" t="str">
        <f aca="false">IF(Q39="","",IF(Z39="",Q39,IF(Q39=Z39,Q39,"DISCUSS")))</f>
        <v/>
      </c>
      <c r="AJ39" s="9" t="str">
        <f aca="false">IF(R39="","",IF(AA39="",R39,IF(R39=AA39,R39,"DISCUSS")))</f>
        <v/>
      </c>
      <c r="AK39" s="18" t="str">
        <f aca="false">IFERROR(AVERAGE(AB39:AJ39),"")</f>
        <v/>
      </c>
      <c r="AL39" s="9" t="n">
        <f aca="false">COUNT(AB39:AJ39)</f>
        <v>0</v>
      </c>
      <c r="AM39" s="9" t="n">
        <f aca="false">COUNTIF(AB39:AJ39,"DISCUSS")</f>
        <v>0</v>
      </c>
      <c r="AN39" s="9" t="str">
        <f aca="false">IF(AL39=0,"",IF(AM39&gt;0,"Resolve DISCUSS",IF(AL39&lt;Tiers!$B$6,"Unrated",IF(AK39&gt;=Tiers!$B$4,"High",IF(AK39&gt;=Tiers!$B$5,"Medium","Low")))))</f>
        <v/>
      </c>
      <c r="AO39" s="9" t="str">
        <f aca="false">IF(OR(AN39="",AN39="Unrated",AN39="Resolve DISCUSS"),"",COUNTIFS($AN$6:$AN$105,AN39,$AK$6:$AK$105,"&gt;"&amp;AK39)+1)</f>
        <v/>
      </c>
      <c r="AP39" s="12"/>
    </row>
    <row r="40" customFormat="false" ht="15" hidden="false" customHeight="false" outlineLevel="0" collapsed="false">
      <c r="A40" s="15"/>
      <c r="B40" s="3"/>
      <c r="C40" s="16"/>
      <c r="D40" s="16"/>
      <c r="E40" s="12"/>
      <c r="F40" s="17"/>
      <c r="G40" s="17"/>
      <c r="H40" s="12"/>
      <c r="I40" s="17"/>
      <c r="J40" s="17"/>
      <c r="K40" s="17"/>
      <c r="L40" s="17"/>
      <c r="M40" s="17"/>
      <c r="N40" s="17"/>
      <c r="O40" s="17"/>
      <c r="P40" s="17"/>
      <c r="Q40" s="17"/>
      <c r="R40" s="17"/>
      <c r="S40" s="17"/>
      <c r="T40" s="17"/>
      <c r="U40" s="17"/>
      <c r="V40" s="17"/>
      <c r="W40" s="17"/>
      <c r="X40" s="17"/>
      <c r="Y40" s="17"/>
      <c r="Z40" s="17"/>
      <c r="AA40" s="17"/>
      <c r="AB40" s="9" t="str">
        <f aca="false">IF(J40="","",IF(S40="",J40,IF(J40=S40,J40,"DISCUSS")))</f>
        <v/>
      </c>
      <c r="AC40" s="9" t="str">
        <f aca="false">IF(K40="","",IF(T40="",K40,IF(K40=T40,K40,"DISCUSS")))</f>
        <v/>
      </c>
      <c r="AD40" s="9" t="str">
        <f aca="false">IF(L40="","",IF(U40="",L40,IF(L40=U40,L40,"DISCUSS")))</f>
        <v/>
      </c>
      <c r="AE40" s="9" t="str">
        <f aca="false">IF(M40="","",IF(V40="",M40,IF(M40=V40,M40,"DISCUSS")))</f>
        <v/>
      </c>
      <c r="AF40" s="9" t="str">
        <f aca="false">IF(N40="","",IF(W40="",N40,IF(N40=W40,N40,"DISCUSS")))</f>
        <v/>
      </c>
      <c r="AG40" s="9" t="str">
        <f aca="false">IF(O40="","",IF(X40="",O40,IF(O40=X40,O40,"DISCUSS")))</f>
        <v/>
      </c>
      <c r="AH40" s="9" t="str">
        <f aca="false">IF(P40="","",IF(Y40="",P40,IF(P40=Y40,P40,"DISCUSS")))</f>
        <v/>
      </c>
      <c r="AI40" s="9" t="str">
        <f aca="false">IF(Q40="","",IF(Z40="",Q40,IF(Q40=Z40,Q40,"DISCUSS")))</f>
        <v/>
      </c>
      <c r="AJ40" s="9" t="str">
        <f aca="false">IF(R40="","",IF(AA40="",R40,IF(R40=AA40,R40,"DISCUSS")))</f>
        <v/>
      </c>
      <c r="AK40" s="18" t="str">
        <f aca="false">IFERROR(AVERAGE(AB40:AJ40),"")</f>
        <v/>
      </c>
      <c r="AL40" s="9" t="n">
        <f aca="false">COUNT(AB40:AJ40)</f>
        <v>0</v>
      </c>
      <c r="AM40" s="9" t="n">
        <f aca="false">COUNTIF(AB40:AJ40,"DISCUSS")</f>
        <v>0</v>
      </c>
      <c r="AN40" s="9" t="str">
        <f aca="false">IF(AL40=0,"",IF(AM40&gt;0,"Resolve DISCUSS",IF(AL40&lt;Tiers!$B$6,"Unrated",IF(AK40&gt;=Tiers!$B$4,"High",IF(AK40&gt;=Tiers!$B$5,"Medium","Low")))))</f>
        <v/>
      </c>
      <c r="AO40" s="9" t="str">
        <f aca="false">IF(OR(AN40="",AN40="Unrated",AN40="Resolve DISCUSS"),"",COUNTIFS($AN$6:$AN$105,AN40,$AK$6:$AK$105,"&gt;"&amp;AK40)+1)</f>
        <v/>
      </c>
      <c r="AP40" s="12"/>
    </row>
    <row r="41" customFormat="false" ht="15" hidden="false" customHeight="false" outlineLevel="0" collapsed="false">
      <c r="A41" s="15"/>
      <c r="B41" s="3"/>
      <c r="C41" s="16"/>
      <c r="D41" s="16"/>
      <c r="E41" s="12"/>
      <c r="F41" s="17"/>
      <c r="G41" s="17"/>
      <c r="H41" s="12"/>
      <c r="I41" s="17"/>
      <c r="J41" s="17"/>
      <c r="K41" s="17"/>
      <c r="L41" s="17"/>
      <c r="M41" s="17"/>
      <c r="N41" s="17"/>
      <c r="O41" s="17"/>
      <c r="P41" s="17"/>
      <c r="Q41" s="17"/>
      <c r="R41" s="17"/>
      <c r="S41" s="17"/>
      <c r="T41" s="17"/>
      <c r="U41" s="17"/>
      <c r="V41" s="17"/>
      <c r="W41" s="17"/>
      <c r="X41" s="17"/>
      <c r="Y41" s="17"/>
      <c r="Z41" s="17"/>
      <c r="AA41" s="17"/>
      <c r="AB41" s="9" t="str">
        <f aca="false">IF(J41="","",IF(S41="",J41,IF(J41=S41,J41,"DISCUSS")))</f>
        <v/>
      </c>
      <c r="AC41" s="9" t="str">
        <f aca="false">IF(K41="","",IF(T41="",K41,IF(K41=T41,K41,"DISCUSS")))</f>
        <v/>
      </c>
      <c r="AD41" s="9" t="str">
        <f aca="false">IF(L41="","",IF(U41="",L41,IF(L41=U41,L41,"DISCUSS")))</f>
        <v/>
      </c>
      <c r="AE41" s="9" t="str">
        <f aca="false">IF(M41="","",IF(V41="",M41,IF(M41=V41,M41,"DISCUSS")))</f>
        <v/>
      </c>
      <c r="AF41" s="9" t="str">
        <f aca="false">IF(N41="","",IF(W41="",N41,IF(N41=W41,N41,"DISCUSS")))</f>
        <v/>
      </c>
      <c r="AG41" s="9" t="str">
        <f aca="false">IF(O41="","",IF(X41="",O41,IF(O41=X41,O41,"DISCUSS")))</f>
        <v/>
      </c>
      <c r="AH41" s="9" t="str">
        <f aca="false">IF(P41="","",IF(Y41="",P41,IF(P41=Y41,P41,"DISCUSS")))</f>
        <v/>
      </c>
      <c r="AI41" s="9" t="str">
        <f aca="false">IF(Q41="","",IF(Z41="",Q41,IF(Q41=Z41,Q41,"DISCUSS")))</f>
        <v/>
      </c>
      <c r="AJ41" s="9" t="str">
        <f aca="false">IF(R41="","",IF(AA41="",R41,IF(R41=AA41,R41,"DISCUSS")))</f>
        <v/>
      </c>
      <c r="AK41" s="18" t="str">
        <f aca="false">IFERROR(AVERAGE(AB41:AJ41),"")</f>
        <v/>
      </c>
      <c r="AL41" s="9" t="n">
        <f aca="false">COUNT(AB41:AJ41)</f>
        <v>0</v>
      </c>
      <c r="AM41" s="9" t="n">
        <f aca="false">COUNTIF(AB41:AJ41,"DISCUSS")</f>
        <v>0</v>
      </c>
      <c r="AN41" s="9" t="str">
        <f aca="false">IF(AL41=0,"",IF(AM41&gt;0,"Resolve DISCUSS",IF(AL41&lt;Tiers!$B$6,"Unrated",IF(AK41&gt;=Tiers!$B$4,"High",IF(AK41&gt;=Tiers!$B$5,"Medium","Low")))))</f>
        <v/>
      </c>
      <c r="AO41" s="9" t="str">
        <f aca="false">IF(OR(AN41="",AN41="Unrated",AN41="Resolve DISCUSS"),"",COUNTIFS($AN$6:$AN$105,AN41,$AK$6:$AK$105,"&gt;"&amp;AK41)+1)</f>
        <v/>
      </c>
      <c r="AP41" s="12"/>
    </row>
    <row r="42" customFormat="false" ht="15" hidden="false" customHeight="false" outlineLevel="0" collapsed="false">
      <c r="A42" s="15"/>
      <c r="B42" s="3"/>
      <c r="C42" s="16"/>
      <c r="D42" s="16"/>
      <c r="E42" s="12"/>
      <c r="F42" s="17"/>
      <c r="G42" s="17"/>
      <c r="H42" s="12"/>
      <c r="I42" s="17"/>
      <c r="J42" s="17"/>
      <c r="K42" s="17"/>
      <c r="L42" s="17"/>
      <c r="M42" s="17"/>
      <c r="N42" s="17"/>
      <c r="O42" s="17"/>
      <c r="P42" s="17"/>
      <c r="Q42" s="17"/>
      <c r="R42" s="17"/>
      <c r="S42" s="17"/>
      <c r="T42" s="17"/>
      <c r="U42" s="17"/>
      <c r="V42" s="17"/>
      <c r="W42" s="17"/>
      <c r="X42" s="17"/>
      <c r="Y42" s="17"/>
      <c r="Z42" s="17"/>
      <c r="AA42" s="17"/>
      <c r="AB42" s="9" t="str">
        <f aca="false">IF(J42="","",IF(S42="",J42,IF(J42=S42,J42,"DISCUSS")))</f>
        <v/>
      </c>
      <c r="AC42" s="9" t="str">
        <f aca="false">IF(K42="","",IF(T42="",K42,IF(K42=T42,K42,"DISCUSS")))</f>
        <v/>
      </c>
      <c r="AD42" s="9" t="str">
        <f aca="false">IF(L42="","",IF(U42="",L42,IF(L42=U42,L42,"DISCUSS")))</f>
        <v/>
      </c>
      <c r="AE42" s="9" t="str">
        <f aca="false">IF(M42="","",IF(V42="",M42,IF(M42=V42,M42,"DISCUSS")))</f>
        <v/>
      </c>
      <c r="AF42" s="9" t="str">
        <f aca="false">IF(N42="","",IF(W42="",N42,IF(N42=W42,N42,"DISCUSS")))</f>
        <v/>
      </c>
      <c r="AG42" s="9" t="str">
        <f aca="false">IF(O42="","",IF(X42="",O42,IF(O42=X42,O42,"DISCUSS")))</f>
        <v/>
      </c>
      <c r="AH42" s="9" t="str">
        <f aca="false">IF(P42="","",IF(Y42="",P42,IF(P42=Y42,P42,"DISCUSS")))</f>
        <v/>
      </c>
      <c r="AI42" s="9" t="str">
        <f aca="false">IF(Q42="","",IF(Z42="",Q42,IF(Q42=Z42,Q42,"DISCUSS")))</f>
        <v/>
      </c>
      <c r="AJ42" s="9" t="str">
        <f aca="false">IF(R42="","",IF(AA42="",R42,IF(R42=AA42,R42,"DISCUSS")))</f>
        <v/>
      </c>
      <c r="AK42" s="18" t="str">
        <f aca="false">IFERROR(AVERAGE(AB42:AJ42),"")</f>
        <v/>
      </c>
      <c r="AL42" s="9" t="n">
        <f aca="false">COUNT(AB42:AJ42)</f>
        <v>0</v>
      </c>
      <c r="AM42" s="9" t="n">
        <f aca="false">COUNTIF(AB42:AJ42,"DISCUSS")</f>
        <v>0</v>
      </c>
      <c r="AN42" s="9" t="str">
        <f aca="false">IF(AL42=0,"",IF(AM42&gt;0,"Resolve DISCUSS",IF(AL42&lt;Tiers!$B$6,"Unrated",IF(AK42&gt;=Tiers!$B$4,"High",IF(AK42&gt;=Tiers!$B$5,"Medium","Low")))))</f>
        <v/>
      </c>
      <c r="AO42" s="9" t="str">
        <f aca="false">IF(OR(AN42="",AN42="Unrated",AN42="Resolve DISCUSS"),"",COUNTIFS($AN$6:$AN$105,AN42,$AK$6:$AK$105,"&gt;"&amp;AK42)+1)</f>
        <v/>
      </c>
      <c r="AP42" s="12"/>
    </row>
    <row r="43" customFormat="false" ht="15" hidden="false" customHeight="false" outlineLevel="0" collapsed="false">
      <c r="A43" s="15"/>
      <c r="B43" s="3"/>
      <c r="C43" s="16"/>
      <c r="D43" s="16"/>
      <c r="E43" s="12"/>
      <c r="F43" s="17"/>
      <c r="G43" s="17"/>
      <c r="H43" s="12"/>
      <c r="I43" s="17"/>
      <c r="J43" s="17"/>
      <c r="K43" s="17"/>
      <c r="L43" s="17"/>
      <c r="M43" s="17"/>
      <c r="N43" s="17"/>
      <c r="O43" s="17"/>
      <c r="P43" s="17"/>
      <c r="Q43" s="17"/>
      <c r="R43" s="17"/>
      <c r="S43" s="17"/>
      <c r="T43" s="17"/>
      <c r="U43" s="17"/>
      <c r="V43" s="17"/>
      <c r="W43" s="17"/>
      <c r="X43" s="17"/>
      <c r="Y43" s="17"/>
      <c r="Z43" s="17"/>
      <c r="AA43" s="17"/>
      <c r="AB43" s="9" t="str">
        <f aca="false">IF(J43="","",IF(S43="",J43,IF(J43=S43,J43,"DISCUSS")))</f>
        <v/>
      </c>
      <c r="AC43" s="9" t="str">
        <f aca="false">IF(K43="","",IF(T43="",K43,IF(K43=T43,K43,"DISCUSS")))</f>
        <v/>
      </c>
      <c r="AD43" s="9" t="str">
        <f aca="false">IF(L43="","",IF(U43="",L43,IF(L43=U43,L43,"DISCUSS")))</f>
        <v/>
      </c>
      <c r="AE43" s="9" t="str">
        <f aca="false">IF(M43="","",IF(V43="",M43,IF(M43=V43,M43,"DISCUSS")))</f>
        <v/>
      </c>
      <c r="AF43" s="9" t="str">
        <f aca="false">IF(N43="","",IF(W43="",N43,IF(N43=W43,N43,"DISCUSS")))</f>
        <v/>
      </c>
      <c r="AG43" s="9" t="str">
        <f aca="false">IF(O43="","",IF(X43="",O43,IF(O43=X43,O43,"DISCUSS")))</f>
        <v/>
      </c>
      <c r="AH43" s="9" t="str">
        <f aca="false">IF(P43="","",IF(Y43="",P43,IF(P43=Y43,P43,"DISCUSS")))</f>
        <v/>
      </c>
      <c r="AI43" s="9" t="str">
        <f aca="false">IF(Q43="","",IF(Z43="",Q43,IF(Q43=Z43,Q43,"DISCUSS")))</f>
        <v/>
      </c>
      <c r="AJ43" s="9" t="str">
        <f aca="false">IF(R43="","",IF(AA43="",R43,IF(R43=AA43,R43,"DISCUSS")))</f>
        <v/>
      </c>
      <c r="AK43" s="18" t="str">
        <f aca="false">IFERROR(AVERAGE(AB43:AJ43),"")</f>
        <v/>
      </c>
      <c r="AL43" s="9" t="n">
        <f aca="false">COUNT(AB43:AJ43)</f>
        <v>0</v>
      </c>
      <c r="AM43" s="9" t="n">
        <f aca="false">COUNTIF(AB43:AJ43,"DISCUSS")</f>
        <v>0</v>
      </c>
      <c r="AN43" s="9" t="str">
        <f aca="false">IF(AL43=0,"",IF(AM43&gt;0,"Resolve DISCUSS",IF(AL43&lt;Tiers!$B$6,"Unrated",IF(AK43&gt;=Tiers!$B$4,"High",IF(AK43&gt;=Tiers!$B$5,"Medium","Low")))))</f>
        <v/>
      </c>
      <c r="AO43" s="9" t="str">
        <f aca="false">IF(OR(AN43="",AN43="Unrated",AN43="Resolve DISCUSS"),"",COUNTIFS($AN$6:$AN$105,AN43,$AK$6:$AK$105,"&gt;"&amp;AK43)+1)</f>
        <v/>
      </c>
      <c r="AP43" s="12"/>
    </row>
    <row r="44" customFormat="false" ht="15" hidden="false" customHeight="false" outlineLevel="0" collapsed="false">
      <c r="A44" s="15"/>
      <c r="B44" s="3"/>
      <c r="C44" s="16"/>
      <c r="D44" s="16"/>
      <c r="E44" s="12"/>
      <c r="F44" s="17"/>
      <c r="G44" s="17"/>
      <c r="H44" s="12"/>
      <c r="I44" s="17"/>
      <c r="J44" s="17"/>
      <c r="K44" s="17"/>
      <c r="L44" s="17"/>
      <c r="M44" s="17"/>
      <c r="N44" s="17"/>
      <c r="O44" s="17"/>
      <c r="P44" s="17"/>
      <c r="Q44" s="17"/>
      <c r="R44" s="17"/>
      <c r="S44" s="17"/>
      <c r="T44" s="17"/>
      <c r="U44" s="17"/>
      <c r="V44" s="17"/>
      <c r="W44" s="17"/>
      <c r="X44" s="17"/>
      <c r="Y44" s="17"/>
      <c r="Z44" s="17"/>
      <c r="AA44" s="17"/>
      <c r="AB44" s="9" t="str">
        <f aca="false">IF(J44="","",IF(S44="",J44,IF(J44=S44,J44,"DISCUSS")))</f>
        <v/>
      </c>
      <c r="AC44" s="9" t="str">
        <f aca="false">IF(K44="","",IF(T44="",K44,IF(K44=T44,K44,"DISCUSS")))</f>
        <v/>
      </c>
      <c r="AD44" s="9" t="str">
        <f aca="false">IF(L44="","",IF(U44="",L44,IF(L44=U44,L44,"DISCUSS")))</f>
        <v/>
      </c>
      <c r="AE44" s="9" t="str">
        <f aca="false">IF(M44="","",IF(V44="",M44,IF(M44=V44,M44,"DISCUSS")))</f>
        <v/>
      </c>
      <c r="AF44" s="9" t="str">
        <f aca="false">IF(N44="","",IF(W44="",N44,IF(N44=W44,N44,"DISCUSS")))</f>
        <v/>
      </c>
      <c r="AG44" s="9" t="str">
        <f aca="false">IF(O44="","",IF(X44="",O44,IF(O44=X44,O44,"DISCUSS")))</f>
        <v/>
      </c>
      <c r="AH44" s="9" t="str">
        <f aca="false">IF(P44="","",IF(Y44="",P44,IF(P44=Y44,P44,"DISCUSS")))</f>
        <v/>
      </c>
      <c r="AI44" s="9" t="str">
        <f aca="false">IF(Q44="","",IF(Z44="",Q44,IF(Q44=Z44,Q44,"DISCUSS")))</f>
        <v/>
      </c>
      <c r="AJ44" s="9" t="str">
        <f aca="false">IF(R44="","",IF(AA44="",R44,IF(R44=AA44,R44,"DISCUSS")))</f>
        <v/>
      </c>
      <c r="AK44" s="18" t="str">
        <f aca="false">IFERROR(AVERAGE(AB44:AJ44),"")</f>
        <v/>
      </c>
      <c r="AL44" s="9" t="n">
        <f aca="false">COUNT(AB44:AJ44)</f>
        <v>0</v>
      </c>
      <c r="AM44" s="9" t="n">
        <f aca="false">COUNTIF(AB44:AJ44,"DISCUSS")</f>
        <v>0</v>
      </c>
      <c r="AN44" s="9" t="str">
        <f aca="false">IF(AL44=0,"",IF(AM44&gt;0,"Resolve DISCUSS",IF(AL44&lt;Tiers!$B$6,"Unrated",IF(AK44&gt;=Tiers!$B$4,"High",IF(AK44&gt;=Tiers!$B$5,"Medium","Low")))))</f>
        <v/>
      </c>
      <c r="AO44" s="9" t="str">
        <f aca="false">IF(OR(AN44="",AN44="Unrated",AN44="Resolve DISCUSS"),"",COUNTIFS($AN$6:$AN$105,AN44,$AK$6:$AK$105,"&gt;"&amp;AK44)+1)</f>
        <v/>
      </c>
      <c r="AP44" s="12"/>
    </row>
    <row r="45" customFormat="false" ht="15" hidden="false" customHeight="false" outlineLevel="0" collapsed="false">
      <c r="A45" s="15"/>
      <c r="B45" s="3"/>
      <c r="C45" s="16"/>
      <c r="D45" s="16"/>
      <c r="E45" s="12"/>
      <c r="F45" s="17"/>
      <c r="G45" s="17"/>
      <c r="H45" s="12"/>
      <c r="I45" s="17"/>
      <c r="J45" s="17"/>
      <c r="K45" s="17"/>
      <c r="L45" s="17"/>
      <c r="M45" s="17"/>
      <c r="N45" s="17"/>
      <c r="O45" s="17"/>
      <c r="P45" s="17"/>
      <c r="Q45" s="17"/>
      <c r="R45" s="17"/>
      <c r="S45" s="17"/>
      <c r="T45" s="17"/>
      <c r="U45" s="17"/>
      <c r="V45" s="17"/>
      <c r="W45" s="17"/>
      <c r="X45" s="17"/>
      <c r="Y45" s="17"/>
      <c r="Z45" s="17"/>
      <c r="AA45" s="17"/>
      <c r="AB45" s="9" t="str">
        <f aca="false">IF(J45="","",IF(S45="",J45,IF(J45=S45,J45,"DISCUSS")))</f>
        <v/>
      </c>
      <c r="AC45" s="9" t="str">
        <f aca="false">IF(K45="","",IF(T45="",K45,IF(K45=T45,K45,"DISCUSS")))</f>
        <v/>
      </c>
      <c r="AD45" s="9" t="str">
        <f aca="false">IF(L45="","",IF(U45="",L45,IF(L45=U45,L45,"DISCUSS")))</f>
        <v/>
      </c>
      <c r="AE45" s="9" t="str">
        <f aca="false">IF(M45="","",IF(V45="",M45,IF(M45=V45,M45,"DISCUSS")))</f>
        <v/>
      </c>
      <c r="AF45" s="9" t="str">
        <f aca="false">IF(N45="","",IF(W45="",N45,IF(N45=W45,N45,"DISCUSS")))</f>
        <v/>
      </c>
      <c r="AG45" s="9" t="str">
        <f aca="false">IF(O45="","",IF(X45="",O45,IF(O45=X45,O45,"DISCUSS")))</f>
        <v/>
      </c>
      <c r="AH45" s="9" t="str">
        <f aca="false">IF(P45="","",IF(Y45="",P45,IF(P45=Y45,P45,"DISCUSS")))</f>
        <v/>
      </c>
      <c r="AI45" s="9" t="str">
        <f aca="false">IF(Q45="","",IF(Z45="",Q45,IF(Q45=Z45,Q45,"DISCUSS")))</f>
        <v/>
      </c>
      <c r="AJ45" s="9" t="str">
        <f aca="false">IF(R45="","",IF(AA45="",R45,IF(R45=AA45,R45,"DISCUSS")))</f>
        <v/>
      </c>
      <c r="AK45" s="18" t="str">
        <f aca="false">IFERROR(AVERAGE(AB45:AJ45),"")</f>
        <v/>
      </c>
      <c r="AL45" s="9" t="n">
        <f aca="false">COUNT(AB45:AJ45)</f>
        <v>0</v>
      </c>
      <c r="AM45" s="9" t="n">
        <f aca="false">COUNTIF(AB45:AJ45,"DISCUSS")</f>
        <v>0</v>
      </c>
      <c r="AN45" s="9" t="str">
        <f aca="false">IF(AL45=0,"",IF(AM45&gt;0,"Resolve DISCUSS",IF(AL45&lt;Tiers!$B$6,"Unrated",IF(AK45&gt;=Tiers!$B$4,"High",IF(AK45&gt;=Tiers!$B$5,"Medium","Low")))))</f>
        <v/>
      </c>
      <c r="AO45" s="9" t="str">
        <f aca="false">IF(OR(AN45="",AN45="Unrated",AN45="Resolve DISCUSS"),"",COUNTIFS($AN$6:$AN$105,AN45,$AK$6:$AK$105,"&gt;"&amp;AK45)+1)</f>
        <v/>
      </c>
      <c r="AP45" s="12"/>
    </row>
    <row r="46" customFormat="false" ht="15" hidden="false" customHeight="false" outlineLevel="0" collapsed="false">
      <c r="A46" s="15"/>
      <c r="B46" s="3"/>
      <c r="C46" s="16"/>
      <c r="D46" s="16"/>
      <c r="E46" s="12"/>
      <c r="F46" s="17"/>
      <c r="G46" s="17"/>
      <c r="H46" s="12"/>
      <c r="I46" s="17"/>
      <c r="J46" s="17"/>
      <c r="K46" s="17"/>
      <c r="L46" s="17"/>
      <c r="M46" s="17"/>
      <c r="N46" s="17"/>
      <c r="O46" s="17"/>
      <c r="P46" s="17"/>
      <c r="Q46" s="17"/>
      <c r="R46" s="17"/>
      <c r="S46" s="17"/>
      <c r="T46" s="17"/>
      <c r="U46" s="17"/>
      <c r="V46" s="17"/>
      <c r="W46" s="17"/>
      <c r="X46" s="17"/>
      <c r="Y46" s="17"/>
      <c r="Z46" s="17"/>
      <c r="AA46" s="17"/>
      <c r="AB46" s="9" t="str">
        <f aca="false">IF(J46="","",IF(S46="",J46,IF(J46=S46,J46,"DISCUSS")))</f>
        <v/>
      </c>
      <c r="AC46" s="9" t="str">
        <f aca="false">IF(K46="","",IF(T46="",K46,IF(K46=T46,K46,"DISCUSS")))</f>
        <v/>
      </c>
      <c r="AD46" s="9" t="str">
        <f aca="false">IF(L46="","",IF(U46="",L46,IF(L46=U46,L46,"DISCUSS")))</f>
        <v/>
      </c>
      <c r="AE46" s="9" t="str">
        <f aca="false">IF(M46="","",IF(V46="",M46,IF(M46=V46,M46,"DISCUSS")))</f>
        <v/>
      </c>
      <c r="AF46" s="9" t="str">
        <f aca="false">IF(N46="","",IF(W46="",N46,IF(N46=W46,N46,"DISCUSS")))</f>
        <v/>
      </c>
      <c r="AG46" s="9" t="str">
        <f aca="false">IF(O46="","",IF(X46="",O46,IF(O46=X46,O46,"DISCUSS")))</f>
        <v/>
      </c>
      <c r="AH46" s="9" t="str">
        <f aca="false">IF(P46="","",IF(Y46="",P46,IF(P46=Y46,P46,"DISCUSS")))</f>
        <v/>
      </c>
      <c r="AI46" s="9" t="str">
        <f aca="false">IF(Q46="","",IF(Z46="",Q46,IF(Q46=Z46,Q46,"DISCUSS")))</f>
        <v/>
      </c>
      <c r="AJ46" s="9" t="str">
        <f aca="false">IF(R46="","",IF(AA46="",R46,IF(R46=AA46,R46,"DISCUSS")))</f>
        <v/>
      </c>
      <c r="AK46" s="18" t="str">
        <f aca="false">IFERROR(AVERAGE(AB46:AJ46),"")</f>
        <v/>
      </c>
      <c r="AL46" s="9" t="n">
        <f aca="false">COUNT(AB46:AJ46)</f>
        <v>0</v>
      </c>
      <c r="AM46" s="9" t="n">
        <f aca="false">COUNTIF(AB46:AJ46,"DISCUSS")</f>
        <v>0</v>
      </c>
      <c r="AN46" s="9" t="str">
        <f aca="false">IF(AL46=0,"",IF(AM46&gt;0,"Resolve DISCUSS",IF(AL46&lt;Tiers!$B$6,"Unrated",IF(AK46&gt;=Tiers!$B$4,"High",IF(AK46&gt;=Tiers!$B$5,"Medium","Low")))))</f>
        <v/>
      </c>
      <c r="AO46" s="9" t="str">
        <f aca="false">IF(OR(AN46="",AN46="Unrated",AN46="Resolve DISCUSS"),"",COUNTIFS($AN$6:$AN$105,AN46,$AK$6:$AK$105,"&gt;"&amp;AK46)+1)</f>
        <v/>
      </c>
      <c r="AP46" s="12"/>
    </row>
    <row r="47" customFormat="false" ht="15" hidden="false" customHeight="false" outlineLevel="0" collapsed="false">
      <c r="A47" s="15"/>
      <c r="B47" s="3"/>
      <c r="C47" s="16"/>
      <c r="D47" s="16"/>
      <c r="E47" s="12"/>
      <c r="F47" s="17"/>
      <c r="G47" s="17"/>
      <c r="H47" s="12"/>
      <c r="I47" s="17"/>
      <c r="J47" s="17"/>
      <c r="K47" s="17"/>
      <c r="L47" s="17"/>
      <c r="M47" s="17"/>
      <c r="N47" s="17"/>
      <c r="O47" s="17"/>
      <c r="P47" s="17"/>
      <c r="Q47" s="17"/>
      <c r="R47" s="17"/>
      <c r="S47" s="17"/>
      <c r="T47" s="17"/>
      <c r="U47" s="17"/>
      <c r="V47" s="17"/>
      <c r="W47" s="17"/>
      <c r="X47" s="17"/>
      <c r="Y47" s="17"/>
      <c r="Z47" s="17"/>
      <c r="AA47" s="17"/>
      <c r="AB47" s="9" t="str">
        <f aca="false">IF(J47="","",IF(S47="",J47,IF(J47=S47,J47,"DISCUSS")))</f>
        <v/>
      </c>
      <c r="AC47" s="9" t="str">
        <f aca="false">IF(K47="","",IF(T47="",K47,IF(K47=T47,K47,"DISCUSS")))</f>
        <v/>
      </c>
      <c r="AD47" s="9" t="str">
        <f aca="false">IF(L47="","",IF(U47="",L47,IF(L47=U47,L47,"DISCUSS")))</f>
        <v/>
      </c>
      <c r="AE47" s="9" t="str">
        <f aca="false">IF(M47="","",IF(V47="",M47,IF(M47=V47,M47,"DISCUSS")))</f>
        <v/>
      </c>
      <c r="AF47" s="9" t="str">
        <f aca="false">IF(N47="","",IF(W47="",N47,IF(N47=W47,N47,"DISCUSS")))</f>
        <v/>
      </c>
      <c r="AG47" s="9" t="str">
        <f aca="false">IF(O47="","",IF(X47="",O47,IF(O47=X47,O47,"DISCUSS")))</f>
        <v/>
      </c>
      <c r="AH47" s="9" t="str">
        <f aca="false">IF(P47="","",IF(Y47="",P47,IF(P47=Y47,P47,"DISCUSS")))</f>
        <v/>
      </c>
      <c r="AI47" s="9" t="str">
        <f aca="false">IF(Q47="","",IF(Z47="",Q47,IF(Q47=Z47,Q47,"DISCUSS")))</f>
        <v/>
      </c>
      <c r="AJ47" s="9" t="str">
        <f aca="false">IF(R47="","",IF(AA47="",R47,IF(R47=AA47,R47,"DISCUSS")))</f>
        <v/>
      </c>
      <c r="AK47" s="18" t="str">
        <f aca="false">IFERROR(AVERAGE(AB47:AJ47),"")</f>
        <v/>
      </c>
      <c r="AL47" s="9" t="n">
        <f aca="false">COUNT(AB47:AJ47)</f>
        <v>0</v>
      </c>
      <c r="AM47" s="9" t="n">
        <f aca="false">COUNTIF(AB47:AJ47,"DISCUSS")</f>
        <v>0</v>
      </c>
      <c r="AN47" s="9" t="str">
        <f aca="false">IF(AL47=0,"",IF(AM47&gt;0,"Resolve DISCUSS",IF(AL47&lt;Tiers!$B$6,"Unrated",IF(AK47&gt;=Tiers!$B$4,"High",IF(AK47&gt;=Tiers!$B$5,"Medium","Low")))))</f>
        <v/>
      </c>
      <c r="AO47" s="9" t="str">
        <f aca="false">IF(OR(AN47="",AN47="Unrated",AN47="Resolve DISCUSS"),"",COUNTIFS($AN$6:$AN$105,AN47,$AK$6:$AK$105,"&gt;"&amp;AK47)+1)</f>
        <v/>
      </c>
      <c r="AP47" s="12"/>
    </row>
    <row r="48" customFormat="false" ht="15" hidden="false" customHeight="false" outlineLevel="0" collapsed="false">
      <c r="A48" s="15"/>
      <c r="B48" s="3"/>
      <c r="C48" s="16"/>
      <c r="D48" s="16"/>
      <c r="E48" s="12"/>
      <c r="F48" s="17"/>
      <c r="G48" s="17"/>
      <c r="H48" s="12"/>
      <c r="I48" s="17"/>
      <c r="J48" s="17"/>
      <c r="K48" s="17"/>
      <c r="L48" s="17"/>
      <c r="M48" s="17"/>
      <c r="N48" s="17"/>
      <c r="O48" s="17"/>
      <c r="P48" s="17"/>
      <c r="Q48" s="17"/>
      <c r="R48" s="17"/>
      <c r="S48" s="17"/>
      <c r="T48" s="17"/>
      <c r="U48" s="17"/>
      <c r="V48" s="17"/>
      <c r="W48" s="17"/>
      <c r="X48" s="17"/>
      <c r="Y48" s="17"/>
      <c r="Z48" s="17"/>
      <c r="AA48" s="17"/>
      <c r="AB48" s="9" t="str">
        <f aca="false">IF(J48="","",IF(S48="",J48,IF(J48=S48,J48,"DISCUSS")))</f>
        <v/>
      </c>
      <c r="AC48" s="9" t="str">
        <f aca="false">IF(K48="","",IF(T48="",K48,IF(K48=T48,K48,"DISCUSS")))</f>
        <v/>
      </c>
      <c r="AD48" s="9" t="str">
        <f aca="false">IF(L48="","",IF(U48="",L48,IF(L48=U48,L48,"DISCUSS")))</f>
        <v/>
      </c>
      <c r="AE48" s="9" t="str">
        <f aca="false">IF(M48="","",IF(V48="",M48,IF(M48=V48,M48,"DISCUSS")))</f>
        <v/>
      </c>
      <c r="AF48" s="9" t="str">
        <f aca="false">IF(N48="","",IF(W48="",N48,IF(N48=W48,N48,"DISCUSS")))</f>
        <v/>
      </c>
      <c r="AG48" s="9" t="str">
        <f aca="false">IF(O48="","",IF(X48="",O48,IF(O48=X48,O48,"DISCUSS")))</f>
        <v/>
      </c>
      <c r="AH48" s="9" t="str">
        <f aca="false">IF(P48="","",IF(Y48="",P48,IF(P48=Y48,P48,"DISCUSS")))</f>
        <v/>
      </c>
      <c r="AI48" s="9" t="str">
        <f aca="false">IF(Q48="","",IF(Z48="",Q48,IF(Q48=Z48,Q48,"DISCUSS")))</f>
        <v/>
      </c>
      <c r="AJ48" s="9" t="str">
        <f aca="false">IF(R48="","",IF(AA48="",R48,IF(R48=AA48,R48,"DISCUSS")))</f>
        <v/>
      </c>
      <c r="AK48" s="18" t="str">
        <f aca="false">IFERROR(AVERAGE(AB48:AJ48),"")</f>
        <v/>
      </c>
      <c r="AL48" s="9" t="n">
        <f aca="false">COUNT(AB48:AJ48)</f>
        <v>0</v>
      </c>
      <c r="AM48" s="9" t="n">
        <f aca="false">COUNTIF(AB48:AJ48,"DISCUSS")</f>
        <v>0</v>
      </c>
      <c r="AN48" s="9" t="str">
        <f aca="false">IF(AL48=0,"",IF(AM48&gt;0,"Resolve DISCUSS",IF(AL48&lt;Tiers!$B$6,"Unrated",IF(AK48&gt;=Tiers!$B$4,"High",IF(AK48&gt;=Tiers!$B$5,"Medium","Low")))))</f>
        <v/>
      </c>
      <c r="AO48" s="9" t="str">
        <f aca="false">IF(OR(AN48="",AN48="Unrated",AN48="Resolve DISCUSS"),"",COUNTIFS($AN$6:$AN$105,AN48,$AK$6:$AK$105,"&gt;"&amp;AK48)+1)</f>
        <v/>
      </c>
      <c r="AP48" s="12"/>
    </row>
    <row r="49" customFormat="false" ht="15" hidden="false" customHeight="false" outlineLevel="0" collapsed="false">
      <c r="A49" s="15"/>
      <c r="B49" s="3"/>
      <c r="C49" s="16"/>
      <c r="D49" s="16"/>
      <c r="E49" s="12"/>
      <c r="F49" s="17"/>
      <c r="G49" s="17"/>
      <c r="H49" s="12"/>
      <c r="I49" s="17"/>
      <c r="J49" s="17"/>
      <c r="K49" s="17"/>
      <c r="L49" s="17"/>
      <c r="M49" s="17"/>
      <c r="N49" s="17"/>
      <c r="O49" s="17"/>
      <c r="P49" s="17"/>
      <c r="Q49" s="17"/>
      <c r="R49" s="17"/>
      <c r="S49" s="17"/>
      <c r="T49" s="17"/>
      <c r="U49" s="17"/>
      <c r="V49" s="17"/>
      <c r="W49" s="17"/>
      <c r="X49" s="17"/>
      <c r="Y49" s="17"/>
      <c r="Z49" s="17"/>
      <c r="AA49" s="17"/>
      <c r="AB49" s="9" t="str">
        <f aca="false">IF(J49="","",IF(S49="",J49,IF(J49=S49,J49,"DISCUSS")))</f>
        <v/>
      </c>
      <c r="AC49" s="9" t="str">
        <f aca="false">IF(K49="","",IF(T49="",K49,IF(K49=T49,K49,"DISCUSS")))</f>
        <v/>
      </c>
      <c r="AD49" s="9" t="str">
        <f aca="false">IF(L49="","",IF(U49="",L49,IF(L49=U49,L49,"DISCUSS")))</f>
        <v/>
      </c>
      <c r="AE49" s="9" t="str">
        <f aca="false">IF(M49="","",IF(V49="",M49,IF(M49=V49,M49,"DISCUSS")))</f>
        <v/>
      </c>
      <c r="AF49" s="9" t="str">
        <f aca="false">IF(N49="","",IF(W49="",N49,IF(N49=W49,N49,"DISCUSS")))</f>
        <v/>
      </c>
      <c r="AG49" s="9" t="str">
        <f aca="false">IF(O49="","",IF(X49="",O49,IF(O49=X49,O49,"DISCUSS")))</f>
        <v/>
      </c>
      <c r="AH49" s="9" t="str">
        <f aca="false">IF(P49="","",IF(Y49="",P49,IF(P49=Y49,P49,"DISCUSS")))</f>
        <v/>
      </c>
      <c r="AI49" s="9" t="str">
        <f aca="false">IF(Q49="","",IF(Z49="",Q49,IF(Q49=Z49,Q49,"DISCUSS")))</f>
        <v/>
      </c>
      <c r="AJ49" s="9" t="str">
        <f aca="false">IF(R49="","",IF(AA49="",R49,IF(R49=AA49,R49,"DISCUSS")))</f>
        <v/>
      </c>
      <c r="AK49" s="18" t="str">
        <f aca="false">IFERROR(AVERAGE(AB49:AJ49),"")</f>
        <v/>
      </c>
      <c r="AL49" s="9" t="n">
        <f aca="false">COUNT(AB49:AJ49)</f>
        <v>0</v>
      </c>
      <c r="AM49" s="9" t="n">
        <f aca="false">COUNTIF(AB49:AJ49,"DISCUSS")</f>
        <v>0</v>
      </c>
      <c r="AN49" s="9" t="str">
        <f aca="false">IF(AL49=0,"",IF(AM49&gt;0,"Resolve DISCUSS",IF(AL49&lt;Tiers!$B$6,"Unrated",IF(AK49&gt;=Tiers!$B$4,"High",IF(AK49&gt;=Tiers!$B$5,"Medium","Low")))))</f>
        <v/>
      </c>
      <c r="AO49" s="9" t="str">
        <f aca="false">IF(OR(AN49="",AN49="Unrated",AN49="Resolve DISCUSS"),"",COUNTIFS($AN$6:$AN$105,AN49,$AK$6:$AK$105,"&gt;"&amp;AK49)+1)</f>
        <v/>
      </c>
      <c r="AP49" s="12"/>
    </row>
    <row r="50" customFormat="false" ht="15" hidden="false" customHeight="false" outlineLevel="0" collapsed="false">
      <c r="A50" s="15"/>
      <c r="B50" s="3"/>
      <c r="C50" s="16"/>
      <c r="D50" s="16"/>
      <c r="E50" s="12"/>
      <c r="F50" s="17"/>
      <c r="G50" s="17"/>
      <c r="H50" s="12"/>
      <c r="I50" s="17"/>
      <c r="J50" s="17"/>
      <c r="K50" s="17"/>
      <c r="L50" s="17"/>
      <c r="M50" s="17"/>
      <c r="N50" s="17"/>
      <c r="O50" s="17"/>
      <c r="P50" s="17"/>
      <c r="Q50" s="17"/>
      <c r="R50" s="17"/>
      <c r="S50" s="17"/>
      <c r="T50" s="17"/>
      <c r="U50" s="17"/>
      <c r="V50" s="17"/>
      <c r="W50" s="17"/>
      <c r="X50" s="17"/>
      <c r="Y50" s="17"/>
      <c r="Z50" s="17"/>
      <c r="AA50" s="17"/>
      <c r="AB50" s="9" t="str">
        <f aca="false">IF(J50="","",IF(S50="",J50,IF(J50=S50,J50,"DISCUSS")))</f>
        <v/>
      </c>
      <c r="AC50" s="9" t="str">
        <f aca="false">IF(K50="","",IF(T50="",K50,IF(K50=T50,K50,"DISCUSS")))</f>
        <v/>
      </c>
      <c r="AD50" s="9" t="str">
        <f aca="false">IF(L50="","",IF(U50="",L50,IF(L50=U50,L50,"DISCUSS")))</f>
        <v/>
      </c>
      <c r="AE50" s="9" t="str">
        <f aca="false">IF(M50="","",IF(V50="",M50,IF(M50=V50,M50,"DISCUSS")))</f>
        <v/>
      </c>
      <c r="AF50" s="9" t="str">
        <f aca="false">IF(N50="","",IF(W50="",N50,IF(N50=W50,N50,"DISCUSS")))</f>
        <v/>
      </c>
      <c r="AG50" s="9" t="str">
        <f aca="false">IF(O50="","",IF(X50="",O50,IF(O50=X50,O50,"DISCUSS")))</f>
        <v/>
      </c>
      <c r="AH50" s="9" t="str">
        <f aca="false">IF(P50="","",IF(Y50="",P50,IF(P50=Y50,P50,"DISCUSS")))</f>
        <v/>
      </c>
      <c r="AI50" s="9" t="str">
        <f aca="false">IF(Q50="","",IF(Z50="",Q50,IF(Q50=Z50,Q50,"DISCUSS")))</f>
        <v/>
      </c>
      <c r="AJ50" s="9" t="str">
        <f aca="false">IF(R50="","",IF(AA50="",R50,IF(R50=AA50,R50,"DISCUSS")))</f>
        <v/>
      </c>
      <c r="AK50" s="18" t="str">
        <f aca="false">IFERROR(AVERAGE(AB50:AJ50),"")</f>
        <v/>
      </c>
      <c r="AL50" s="9" t="n">
        <f aca="false">COUNT(AB50:AJ50)</f>
        <v>0</v>
      </c>
      <c r="AM50" s="9" t="n">
        <f aca="false">COUNTIF(AB50:AJ50,"DISCUSS")</f>
        <v>0</v>
      </c>
      <c r="AN50" s="9" t="str">
        <f aca="false">IF(AL50=0,"",IF(AM50&gt;0,"Resolve DISCUSS",IF(AL50&lt;Tiers!$B$6,"Unrated",IF(AK50&gt;=Tiers!$B$4,"High",IF(AK50&gt;=Tiers!$B$5,"Medium","Low")))))</f>
        <v/>
      </c>
      <c r="AO50" s="9" t="str">
        <f aca="false">IF(OR(AN50="",AN50="Unrated",AN50="Resolve DISCUSS"),"",COUNTIFS($AN$6:$AN$105,AN50,$AK$6:$AK$105,"&gt;"&amp;AK50)+1)</f>
        <v/>
      </c>
      <c r="AP50" s="12"/>
    </row>
    <row r="51" customFormat="false" ht="15" hidden="false" customHeight="false" outlineLevel="0" collapsed="false">
      <c r="A51" s="15"/>
      <c r="B51" s="3"/>
      <c r="C51" s="16"/>
      <c r="D51" s="16"/>
      <c r="E51" s="12"/>
      <c r="F51" s="17"/>
      <c r="G51" s="17"/>
      <c r="H51" s="12"/>
      <c r="I51" s="17"/>
      <c r="J51" s="17"/>
      <c r="K51" s="17"/>
      <c r="L51" s="17"/>
      <c r="M51" s="17"/>
      <c r="N51" s="17"/>
      <c r="O51" s="17"/>
      <c r="P51" s="17"/>
      <c r="Q51" s="17"/>
      <c r="R51" s="17"/>
      <c r="S51" s="17"/>
      <c r="T51" s="17"/>
      <c r="U51" s="17"/>
      <c r="V51" s="17"/>
      <c r="W51" s="17"/>
      <c r="X51" s="17"/>
      <c r="Y51" s="17"/>
      <c r="Z51" s="17"/>
      <c r="AA51" s="17"/>
      <c r="AB51" s="9" t="str">
        <f aca="false">IF(J51="","",IF(S51="",J51,IF(J51=S51,J51,"DISCUSS")))</f>
        <v/>
      </c>
      <c r="AC51" s="9" t="str">
        <f aca="false">IF(K51="","",IF(T51="",K51,IF(K51=T51,K51,"DISCUSS")))</f>
        <v/>
      </c>
      <c r="AD51" s="9" t="str">
        <f aca="false">IF(L51="","",IF(U51="",L51,IF(L51=U51,L51,"DISCUSS")))</f>
        <v/>
      </c>
      <c r="AE51" s="9" t="str">
        <f aca="false">IF(M51="","",IF(V51="",M51,IF(M51=V51,M51,"DISCUSS")))</f>
        <v/>
      </c>
      <c r="AF51" s="9" t="str">
        <f aca="false">IF(N51="","",IF(W51="",N51,IF(N51=W51,N51,"DISCUSS")))</f>
        <v/>
      </c>
      <c r="AG51" s="9" t="str">
        <f aca="false">IF(O51="","",IF(X51="",O51,IF(O51=X51,O51,"DISCUSS")))</f>
        <v/>
      </c>
      <c r="AH51" s="9" t="str">
        <f aca="false">IF(P51="","",IF(Y51="",P51,IF(P51=Y51,P51,"DISCUSS")))</f>
        <v/>
      </c>
      <c r="AI51" s="9" t="str">
        <f aca="false">IF(Q51="","",IF(Z51="",Q51,IF(Q51=Z51,Q51,"DISCUSS")))</f>
        <v/>
      </c>
      <c r="AJ51" s="9" t="str">
        <f aca="false">IF(R51="","",IF(AA51="",R51,IF(R51=AA51,R51,"DISCUSS")))</f>
        <v/>
      </c>
      <c r="AK51" s="18" t="str">
        <f aca="false">IFERROR(AVERAGE(AB51:AJ51),"")</f>
        <v/>
      </c>
      <c r="AL51" s="9" t="n">
        <f aca="false">COUNT(AB51:AJ51)</f>
        <v>0</v>
      </c>
      <c r="AM51" s="9" t="n">
        <f aca="false">COUNTIF(AB51:AJ51,"DISCUSS")</f>
        <v>0</v>
      </c>
      <c r="AN51" s="9" t="str">
        <f aca="false">IF(AL51=0,"",IF(AM51&gt;0,"Resolve DISCUSS",IF(AL51&lt;Tiers!$B$6,"Unrated",IF(AK51&gt;=Tiers!$B$4,"High",IF(AK51&gt;=Tiers!$B$5,"Medium","Low")))))</f>
        <v/>
      </c>
      <c r="AO51" s="9" t="str">
        <f aca="false">IF(OR(AN51="",AN51="Unrated",AN51="Resolve DISCUSS"),"",COUNTIFS($AN$6:$AN$105,AN51,$AK$6:$AK$105,"&gt;"&amp;AK51)+1)</f>
        <v/>
      </c>
      <c r="AP51" s="12"/>
    </row>
    <row r="52" customFormat="false" ht="15" hidden="false" customHeight="false" outlineLevel="0" collapsed="false">
      <c r="A52" s="15"/>
      <c r="B52" s="3"/>
      <c r="C52" s="16"/>
      <c r="D52" s="16"/>
      <c r="E52" s="12"/>
      <c r="F52" s="17"/>
      <c r="G52" s="17"/>
      <c r="H52" s="12"/>
      <c r="I52" s="17"/>
      <c r="J52" s="17"/>
      <c r="K52" s="17"/>
      <c r="L52" s="17"/>
      <c r="M52" s="17"/>
      <c r="N52" s="17"/>
      <c r="O52" s="17"/>
      <c r="P52" s="17"/>
      <c r="Q52" s="17"/>
      <c r="R52" s="17"/>
      <c r="S52" s="17"/>
      <c r="T52" s="17"/>
      <c r="U52" s="17"/>
      <c r="V52" s="17"/>
      <c r="W52" s="17"/>
      <c r="X52" s="17"/>
      <c r="Y52" s="17"/>
      <c r="Z52" s="17"/>
      <c r="AA52" s="17"/>
      <c r="AB52" s="9" t="str">
        <f aca="false">IF(J52="","",IF(S52="",J52,IF(J52=S52,J52,"DISCUSS")))</f>
        <v/>
      </c>
      <c r="AC52" s="9" t="str">
        <f aca="false">IF(K52="","",IF(T52="",K52,IF(K52=T52,K52,"DISCUSS")))</f>
        <v/>
      </c>
      <c r="AD52" s="9" t="str">
        <f aca="false">IF(L52="","",IF(U52="",L52,IF(L52=U52,L52,"DISCUSS")))</f>
        <v/>
      </c>
      <c r="AE52" s="9" t="str">
        <f aca="false">IF(M52="","",IF(V52="",M52,IF(M52=V52,M52,"DISCUSS")))</f>
        <v/>
      </c>
      <c r="AF52" s="9" t="str">
        <f aca="false">IF(N52="","",IF(W52="",N52,IF(N52=W52,N52,"DISCUSS")))</f>
        <v/>
      </c>
      <c r="AG52" s="9" t="str">
        <f aca="false">IF(O52="","",IF(X52="",O52,IF(O52=X52,O52,"DISCUSS")))</f>
        <v/>
      </c>
      <c r="AH52" s="9" t="str">
        <f aca="false">IF(P52="","",IF(Y52="",P52,IF(P52=Y52,P52,"DISCUSS")))</f>
        <v/>
      </c>
      <c r="AI52" s="9" t="str">
        <f aca="false">IF(Q52="","",IF(Z52="",Q52,IF(Q52=Z52,Q52,"DISCUSS")))</f>
        <v/>
      </c>
      <c r="AJ52" s="9" t="str">
        <f aca="false">IF(R52="","",IF(AA52="",R52,IF(R52=AA52,R52,"DISCUSS")))</f>
        <v/>
      </c>
      <c r="AK52" s="18" t="str">
        <f aca="false">IFERROR(AVERAGE(AB52:AJ52),"")</f>
        <v/>
      </c>
      <c r="AL52" s="9" t="n">
        <f aca="false">COUNT(AB52:AJ52)</f>
        <v>0</v>
      </c>
      <c r="AM52" s="9" t="n">
        <f aca="false">COUNTIF(AB52:AJ52,"DISCUSS")</f>
        <v>0</v>
      </c>
      <c r="AN52" s="9" t="str">
        <f aca="false">IF(AL52=0,"",IF(AM52&gt;0,"Resolve DISCUSS",IF(AL52&lt;Tiers!$B$6,"Unrated",IF(AK52&gt;=Tiers!$B$4,"High",IF(AK52&gt;=Tiers!$B$5,"Medium","Low")))))</f>
        <v/>
      </c>
      <c r="AO52" s="9" t="str">
        <f aca="false">IF(OR(AN52="",AN52="Unrated",AN52="Resolve DISCUSS"),"",COUNTIFS($AN$6:$AN$105,AN52,$AK$6:$AK$105,"&gt;"&amp;AK52)+1)</f>
        <v/>
      </c>
      <c r="AP52" s="12"/>
    </row>
    <row r="53" customFormat="false" ht="15" hidden="false" customHeight="false" outlineLevel="0" collapsed="false">
      <c r="A53" s="15"/>
      <c r="B53" s="3"/>
      <c r="C53" s="16"/>
      <c r="D53" s="16"/>
      <c r="E53" s="12"/>
      <c r="F53" s="17"/>
      <c r="G53" s="17"/>
      <c r="H53" s="12"/>
      <c r="I53" s="17"/>
      <c r="J53" s="17"/>
      <c r="K53" s="17"/>
      <c r="L53" s="17"/>
      <c r="M53" s="17"/>
      <c r="N53" s="17"/>
      <c r="O53" s="17"/>
      <c r="P53" s="17"/>
      <c r="Q53" s="17"/>
      <c r="R53" s="17"/>
      <c r="S53" s="17"/>
      <c r="T53" s="17"/>
      <c r="U53" s="17"/>
      <c r="V53" s="17"/>
      <c r="W53" s="17"/>
      <c r="X53" s="17"/>
      <c r="Y53" s="17"/>
      <c r="Z53" s="17"/>
      <c r="AA53" s="17"/>
      <c r="AB53" s="9" t="str">
        <f aca="false">IF(J53="","",IF(S53="",J53,IF(J53=S53,J53,"DISCUSS")))</f>
        <v/>
      </c>
      <c r="AC53" s="9" t="str">
        <f aca="false">IF(K53="","",IF(T53="",K53,IF(K53=T53,K53,"DISCUSS")))</f>
        <v/>
      </c>
      <c r="AD53" s="9" t="str">
        <f aca="false">IF(L53="","",IF(U53="",L53,IF(L53=U53,L53,"DISCUSS")))</f>
        <v/>
      </c>
      <c r="AE53" s="9" t="str">
        <f aca="false">IF(M53="","",IF(V53="",M53,IF(M53=V53,M53,"DISCUSS")))</f>
        <v/>
      </c>
      <c r="AF53" s="9" t="str">
        <f aca="false">IF(N53="","",IF(W53="",N53,IF(N53=W53,N53,"DISCUSS")))</f>
        <v/>
      </c>
      <c r="AG53" s="9" t="str">
        <f aca="false">IF(O53="","",IF(X53="",O53,IF(O53=X53,O53,"DISCUSS")))</f>
        <v/>
      </c>
      <c r="AH53" s="9" t="str">
        <f aca="false">IF(P53="","",IF(Y53="",P53,IF(P53=Y53,P53,"DISCUSS")))</f>
        <v/>
      </c>
      <c r="AI53" s="9" t="str">
        <f aca="false">IF(Q53="","",IF(Z53="",Q53,IF(Q53=Z53,Q53,"DISCUSS")))</f>
        <v/>
      </c>
      <c r="AJ53" s="9" t="str">
        <f aca="false">IF(R53="","",IF(AA53="",R53,IF(R53=AA53,R53,"DISCUSS")))</f>
        <v/>
      </c>
      <c r="AK53" s="18" t="str">
        <f aca="false">IFERROR(AVERAGE(AB53:AJ53),"")</f>
        <v/>
      </c>
      <c r="AL53" s="9" t="n">
        <f aca="false">COUNT(AB53:AJ53)</f>
        <v>0</v>
      </c>
      <c r="AM53" s="9" t="n">
        <f aca="false">COUNTIF(AB53:AJ53,"DISCUSS")</f>
        <v>0</v>
      </c>
      <c r="AN53" s="9" t="str">
        <f aca="false">IF(AL53=0,"",IF(AM53&gt;0,"Resolve DISCUSS",IF(AL53&lt;Tiers!$B$6,"Unrated",IF(AK53&gt;=Tiers!$B$4,"High",IF(AK53&gt;=Tiers!$B$5,"Medium","Low")))))</f>
        <v/>
      </c>
      <c r="AO53" s="9" t="str">
        <f aca="false">IF(OR(AN53="",AN53="Unrated",AN53="Resolve DISCUSS"),"",COUNTIFS($AN$6:$AN$105,AN53,$AK$6:$AK$105,"&gt;"&amp;AK53)+1)</f>
        <v/>
      </c>
      <c r="AP53" s="12"/>
    </row>
    <row r="54" customFormat="false" ht="15" hidden="false" customHeight="false" outlineLevel="0" collapsed="false">
      <c r="A54" s="15"/>
      <c r="B54" s="3"/>
      <c r="C54" s="16"/>
      <c r="D54" s="16"/>
      <c r="E54" s="12"/>
      <c r="F54" s="17"/>
      <c r="G54" s="17"/>
      <c r="H54" s="12"/>
      <c r="I54" s="17"/>
      <c r="J54" s="17"/>
      <c r="K54" s="17"/>
      <c r="L54" s="17"/>
      <c r="M54" s="17"/>
      <c r="N54" s="17"/>
      <c r="O54" s="17"/>
      <c r="P54" s="17"/>
      <c r="Q54" s="17"/>
      <c r="R54" s="17"/>
      <c r="S54" s="17"/>
      <c r="T54" s="17"/>
      <c r="U54" s="17"/>
      <c r="V54" s="17"/>
      <c r="W54" s="17"/>
      <c r="X54" s="17"/>
      <c r="Y54" s="17"/>
      <c r="Z54" s="17"/>
      <c r="AA54" s="17"/>
      <c r="AB54" s="9" t="str">
        <f aca="false">IF(J54="","",IF(S54="",J54,IF(J54=S54,J54,"DISCUSS")))</f>
        <v/>
      </c>
      <c r="AC54" s="9" t="str">
        <f aca="false">IF(K54="","",IF(T54="",K54,IF(K54=T54,K54,"DISCUSS")))</f>
        <v/>
      </c>
      <c r="AD54" s="9" t="str">
        <f aca="false">IF(L54="","",IF(U54="",L54,IF(L54=U54,L54,"DISCUSS")))</f>
        <v/>
      </c>
      <c r="AE54" s="9" t="str">
        <f aca="false">IF(M54="","",IF(V54="",M54,IF(M54=V54,M54,"DISCUSS")))</f>
        <v/>
      </c>
      <c r="AF54" s="9" t="str">
        <f aca="false">IF(N54="","",IF(W54="",N54,IF(N54=W54,N54,"DISCUSS")))</f>
        <v/>
      </c>
      <c r="AG54" s="9" t="str">
        <f aca="false">IF(O54="","",IF(X54="",O54,IF(O54=X54,O54,"DISCUSS")))</f>
        <v/>
      </c>
      <c r="AH54" s="9" t="str">
        <f aca="false">IF(P54="","",IF(Y54="",P54,IF(P54=Y54,P54,"DISCUSS")))</f>
        <v/>
      </c>
      <c r="AI54" s="9" t="str">
        <f aca="false">IF(Q54="","",IF(Z54="",Q54,IF(Q54=Z54,Q54,"DISCUSS")))</f>
        <v/>
      </c>
      <c r="AJ54" s="9" t="str">
        <f aca="false">IF(R54="","",IF(AA54="",R54,IF(R54=AA54,R54,"DISCUSS")))</f>
        <v/>
      </c>
      <c r="AK54" s="18" t="str">
        <f aca="false">IFERROR(AVERAGE(AB54:AJ54),"")</f>
        <v/>
      </c>
      <c r="AL54" s="9" t="n">
        <f aca="false">COUNT(AB54:AJ54)</f>
        <v>0</v>
      </c>
      <c r="AM54" s="9" t="n">
        <f aca="false">COUNTIF(AB54:AJ54,"DISCUSS")</f>
        <v>0</v>
      </c>
      <c r="AN54" s="9" t="str">
        <f aca="false">IF(AL54=0,"",IF(AM54&gt;0,"Resolve DISCUSS",IF(AL54&lt;Tiers!$B$6,"Unrated",IF(AK54&gt;=Tiers!$B$4,"High",IF(AK54&gt;=Tiers!$B$5,"Medium","Low")))))</f>
        <v/>
      </c>
      <c r="AO54" s="9" t="str">
        <f aca="false">IF(OR(AN54="",AN54="Unrated",AN54="Resolve DISCUSS"),"",COUNTIFS($AN$6:$AN$105,AN54,$AK$6:$AK$105,"&gt;"&amp;AK54)+1)</f>
        <v/>
      </c>
      <c r="AP54" s="12"/>
    </row>
    <row r="55" customFormat="false" ht="15" hidden="false" customHeight="false" outlineLevel="0" collapsed="false">
      <c r="A55" s="15"/>
      <c r="B55" s="3"/>
      <c r="C55" s="16"/>
      <c r="D55" s="16"/>
      <c r="E55" s="12"/>
      <c r="F55" s="17"/>
      <c r="G55" s="17"/>
      <c r="H55" s="12"/>
      <c r="I55" s="17"/>
      <c r="J55" s="17"/>
      <c r="K55" s="17"/>
      <c r="L55" s="17"/>
      <c r="M55" s="17"/>
      <c r="N55" s="17"/>
      <c r="O55" s="17"/>
      <c r="P55" s="17"/>
      <c r="Q55" s="17"/>
      <c r="R55" s="17"/>
      <c r="S55" s="17"/>
      <c r="T55" s="17"/>
      <c r="U55" s="17"/>
      <c r="V55" s="17"/>
      <c r="W55" s="17"/>
      <c r="X55" s="17"/>
      <c r="Y55" s="17"/>
      <c r="Z55" s="17"/>
      <c r="AA55" s="17"/>
      <c r="AB55" s="9" t="str">
        <f aca="false">IF(J55="","",IF(S55="",J55,IF(J55=S55,J55,"DISCUSS")))</f>
        <v/>
      </c>
      <c r="AC55" s="9" t="str">
        <f aca="false">IF(K55="","",IF(T55="",K55,IF(K55=T55,K55,"DISCUSS")))</f>
        <v/>
      </c>
      <c r="AD55" s="9" t="str">
        <f aca="false">IF(L55="","",IF(U55="",L55,IF(L55=U55,L55,"DISCUSS")))</f>
        <v/>
      </c>
      <c r="AE55" s="9" t="str">
        <f aca="false">IF(M55="","",IF(V55="",M55,IF(M55=V55,M55,"DISCUSS")))</f>
        <v/>
      </c>
      <c r="AF55" s="9" t="str">
        <f aca="false">IF(N55="","",IF(W55="",N55,IF(N55=W55,N55,"DISCUSS")))</f>
        <v/>
      </c>
      <c r="AG55" s="9" t="str">
        <f aca="false">IF(O55="","",IF(X55="",O55,IF(O55=X55,O55,"DISCUSS")))</f>
        <v/>
      </c>
      <c r="AH55" s="9" t="str">
        <f aca="false">IF(P55="","",IF(Y55="",P55,IF(P55=Y55,P55,"DISCUSS")))</f>
        <v/>
      </c>
      <c r="AI55" s="9" t="str">
        <f aca="false">IF(Q55="","",IF(Z55="",Q55,IF(Q55=Z55,Q55,"DISCUSS")))</f>
        <v/>
      </c>
      <c r="AJ55" s="9" t="str">
        <f aca="false">IF(R55="","",IF(AA55="",R55,IF(R55=AA55,R55,"DISCUSS")))</f>
        <v/>
      </c>
      <c r="AK55" s="18" t="str">
        <f aca="false">IFERROR(AVERAGE(AB55:AJ55),"")</f>
        <v/>
      </c>
      <c r="AL55" s="9" t="n">
        <f aca="false">COUNT(AB55:AJ55)</f>
        <v>0</v>
      </c>
      <c r="AM55" s="9" t="n">
        <f aca="false">COUNTIF(AB55:AJ55,"DISCUSS")</f>
        <v>0</v>
      </c>
      <c r="AN55" s="9" t="str">
        <f aca="false">IF(AL55=0,"",IF(AM55&gt;0,"Resolve DISCUSS",IF(AL55&lt;Tiers!$B$6,"Unrated",IF(AK55&gt;=Tiers!$B$4,"High",IF(AK55&gt;=Tiers!$B$5,"Medium","Low")))))</f>
        <v/>
      </c>
      <c r="AO55" s="9" t="str">
        <f aca="false">IF(OR(AN55="",AN55="Unrated",AN55="Resolve DISCUSS"),"",COUNTIFS($AN$6:$AN$105,AN55,$AK$6:$AK$105,"&gt;"&amp;AK55)+1)</f>
        <v/>
      </c>
      <c r="AP55" s="12"/>
    </row>
    <row r="56" customFormat="false" ht="15" hidden="false" customHeight="false" outlineLevel="0" collapsed="false">
      <c r="A56" s="15"/>
      <c r="B56" s="3"/>
      <c r="C56" s="16"/>
      <c r="D56" s="16"/>
      <c r="E56" s="12"/>
      <c r="F56" s="17"/>
      <c r="G56" s="17"/>
      <c r="H56" s="12"/>
      <c r="I56" s="17"/>
      <c r="J56" s="17"/>
      <c r="K56" s="17"/>
      <c r="L56" s="17"/>
      <c r="M56" s="17"/>
      <c r="N56" s="17"/>
      <c r="O56" s="17"/>
      <c r="P56" s="17"/>
      <c r="Q56" s="17"/>
      <c r="R56" s="17"/>
      <c r="S56" s="17"/>
      <c r="T56" s="17"/>
      <c r="U56" s="17"/>
      <c r="V56" s="17"/>
      <c r="W56" s="17"/>
      <c r="X56" s="17"/>
      <c r="Y56" s="17"/>
      <c r="Z56" s="17"/>
      <c r="AA56" s="17"/>
      <c r="AB56" s="9" t="str">
        <f aca="false">IF(J56="","",IF(S56="",J56,IF(J56=S56,J56,"DISCUSS")))</f>
        <v/>
      </c>
      <c r="AC56" s="9" t="str">
        <f aca="false">IF(K56="","",IF(T56="",K56,IF(K56=T56,K56,"DISCUSS")))</f>
        <v/>
      </c>
      <c r="AD56" s="9" t="str">
        <f aca="false">IF(L56="","",IF(U56="",L56,IF(L56=U56,L56,"DISCUSS")))</f>
        <v/>
      </c>
      <c r="AE56" s="9" t="str">
        <f aca="false">IF(M56="","",IF(V56="",M56,IF(M56=V56,M56,"DISCUSS")))</f>
        <v/>
      </c>
      <c r="AF56" s="9" t="str">
        <f aca="false">IF(N56="","",IF(W56="",N56,IF(N56=W56,N56,"DISCUSS")))</f>
        <v/>
      </c>
      <c r="AG56" s="9" t="str">
        <f aca="false">IF(O56="","",IF(X56="",O56,IF(O56=X56,O56,"DISCUSS")))</f>
        <v/>
      </c>
      <c r="AH56" s="9" t="str">
        <f aca="false">IF(P56="","",IF(Y56="",P56,IF(P56=Y56,P56,"DISCUSS")))</f>
        <v/>
      </c>
      <c r="AI56" s="9" t="str">
        <f aca="false">IF(Q56="","",IF(Z56="",Q56,IF(Q56=Z56,Q56,"DISCUSS")))</f>
        <v/>
      </c>
      <c r="AJ56" s="9" t="str">
        <f aca="false">IF(R56="","",IF(AA56="",R56,IF(R56=AA56,R56,"DISCUSS")))</f>
        <v/>
      </c>
      <c r="AK56" s="18" t="str">
        <f aca="false">IFERROR(AVERAGE(AB56:AJ56),"")</f>
        <v/>
      </c>
      <c r="AL56" s="9" t="n">
        <f aca="false">COUNT(AB56:AJ56)</f>
        <v>0</v>
      </c>
      <c r="AM56" s="9" t="n">
        <f aca="false">COUNTIF(AB56:AJ56,"DISCUSS")</f>
        <v>0</v>
      </c>
      <c r="AN56" s="9" t="str">
        <f aca="false">IF(AL56=0,"",IF(AM56&gt;0,"Resolve DISCUSS",IF(AL56&lt;Tiers!$B$6,"Unrated",IF(AK56&gt;=Tiers!$B$4,"High",IF(AK56&gt;=Tiers!$B$5,"Medium","Low")))))</f>
        <v/>
      </c>
      <c r="AO56" s="9" t="str">
        <f aca="false">IF(OR(AN56="",AN56="Unrated",AN56="Resolve DISCUSS"),"",COUNTIFS($AN$6:$AN$105,AN56,$AK$6:$AK$105,"&gt;"&amp;AK56)+1)</f>
        <v/>
      </c>
      <c r="AP56" s="12"/>
    </row>
    <row r="57" customFormat="false" ht="15" hidden="false" customHeight="false" outlineLevel="0" collapsed="false">
      <c r="A57" s="15"/>
      <c r="B57" s="3"/>
      <c r="C57" s="16"/>
      <c r="D57" s="16"/>
      <c r="E57" s="12"/>
      <c r="F57" s="17"/>
      <c r="G57" s="17"/>
      <c r="H57" s="12"/>
      <c r="I57" s="17"/>
      <c r="J57" s="17"/>
      <c r="K57" s="17"/>
      <c r="L57" s="17"/>
      <c r="M57" s="17"/>
      <c r="N57" s="17"/>
      <c r="O57" s="17"/>
      <c r="P57" s="17"/>
      <c r="Q57" s="17"/>
      <c r="R57" s="17"/>
      <c r="S57" s="17"/>
      <c r="T57" s="17"/>
      <c r="U57" s="17"/>
      <c r="V57" s="17"/>
      <c r="W57" s="17"/>
      <c r="X57" s="17"/>
      <c r="Y57" s="17"/>
      <c r="Z57" s="17"/>
      <c r="AA57" s="17"/>
      <c r="AB57" s="9" t="str">
        <f aca="false">IF(J57="","",IF(S57="",J57,IF(J57=S57,J57,"DISCUSS")))</f>
        <v/>
      </c>
      <c r="AC57" s="9" t="str">
        <f aca="false">IF(K57="","",IF(T57="",K57,IF(K57=T57,K57,"DISCUSS")))</f>
        <v/>
      </c>
      <c r="AD57" s="9" t="str">
        <f aca="false">IF(L57="","",IF(U57="",L57,IF(L57=U57,L57,"DISCUSS")))</f>
        <v/>
      </c>
      <c r="AE57" s="9" t="str">
        <f aca="false">IF(M57="","",IF(V57="",M57,IF(M57=V57,M57,"DISCUSS")))</f>
        <v/>
      </c>
      <c r="AF57" s="9" t="str">
        <f aca="false">IF(N57="","",IF(W57="",N57,IF(N57=W57,N57,"DISCUSS")))</f>
        <v/>
      </c>
      <c r="AG57" s="9" t="str">
        <f aca="false">IF(O57="","",IF(X57="",O57,IF(O57=X57,O57,"DISCUSS")))</f>
        <v/>
      </c>
      <c r="AH57" s="9" t="str">
        <f aca="false">IF(P57="","",IF(Y57="",P57,IF(P57=Y57,P57,"DISCUSS")))</f>
        <v/>
      </c>
      <c r="AI57" s="9" t="str">
        <f aca="false">IF(Q57="","",IF(Z57="",Q57,IF(Q57=Z57,Q57,"DISCUSS")))</f>
        <v/>
      </c>
      <c r="AJ57" s="9" t="str">
        <f aca="false">IF(R57="","",IF(AA57="",R57,IF(R57=AA57,R57,"DISCUSS")))</f>
        <v/>
      </c>
      <c r="AK57" s="18" t="str">
        <f aca="false">IFERROR(AVERAGE(AB57:AJ57),"")</f>
        <v/>
      </c>
      <c r="AL57" s="9" t="n">
        <f aca="false">COUNT(AB57:AJ57)</f>
        <v>0</v>
      </c>
      <c r="AM57" s="9" t="n">
        <f aca="false">COUNTIF(AB57:AJ57,"DISCUSS")</f>
        <v>0</v>
      </c>
      <c r="AN57" s="9" t="str">
        <f aca="false">IF(AL57=0,"",IF(AM57&gt;0,"Resolve DISCUSS",IF(AL57&lt;Tiers!$B$6,"Unrated",IF(AK57&gt;=Tiers!$B$4,"High",IF(AK57&gt;=Tiers!$B$5,"Medium","Low")))))</f>
        <v/>
      </c>
      <c r="AO57" s="9" t="str">
        <f aca="false">IF(OR(AN57="",AN57="Unrated",AN57="Resolve DISCUSS"),"",COUNTIFS($AN$6:$AN$105,AN57,$AK$6:$AK$105,"&gt;"&amp;AK57)+1)</f>
        <v/>
      </c>
      <c r="AP57" s="12"/>
    </row>
    <row r="58" customFormat="false" ht="15" hidden="false" customHeight="false" outlineLevel="0" collapsed="false">
      <c r="A58" s="15"/>
      <c r="B58" s="3"/>
      <c r="C58" s="16"/>
      <c r="D58" s="16"/>
      <c r="E58" s="12"/>
      <c r="F58" s="17"/>
      <c r="G58" s="17"/>
      <c r="H58" s="12"/>
      <c r="I58" s="17"/>
      <c r="J58" s="17"/>
      <c r="K58" s="17"/>
      <c r="L58" s="17"/>
      <c r="M58" s="17"/>
      <c r="N58" s="17"/>
      <c r="O58" s="17"/>
      <c r="P58" s="17"/>
      <c r="Q58" s="17"/>
      <c r="R58" s="17"/>
      <c r="S58" s="17"/>
      <c r="T58" s="17"/>
      <c r="U58" s="17"/>
      <c r="V58" s="17"/>
      <c r="W58" s="17"/>
      <c r="X58" s="17"/>
      <c r="Y58" s="17"/>
      <c r="Z58" s="17"/>
      <c r="AA58" s="17"/>
      <c r="AB58" s="9" t="str">
        <f aca="false">IF(J58="","",IF(S58="",J58,IF(J58=S58,J58,"DISCUSS")))</f>
        <v/>
      </c>
      <c r="AC58" s="9" t="str">
        <f aca="false">IF(K58="","",IF(T58="",K58,IF(K58=T58,K58,"DISCUSS")))</f>
        <v/>
      </c>
      <c r="AD58" s="9" t="str">
        <f aca="false">IF(L58="","",IF(U58="",L58,IF(L58=U58,L58,"DISCUSS")))</f>
        <v/>
      </c>
      <c r="AE58" s="9" t="str">
        <f aca="false">IF(M58="","",IF(V58="",M58,IF(M58=V58,M58,"DISCUSS")))</f>
        <v/>
      </c>
      <c r="AF58" s="9" t="str">
        <f aca="false">IF(N58="","",IF(W58="",N58,IF(N58=W58,N58,"DISCUSS")))</f>
        <v/>
      </c>
      <c r="AG58" s="9" t="str">
        <f aca="false">IF(O58="","",IF(X58="",O58,IF(O58=X58,O58,"DISCUSS")))</f>
        <v/>
      </c>
      <c r="AH58" s="9" t="str">
        <f aca="false">IF(P58="","",IF(Y58="",P58,IF(P58=Y58,P58,"DISCUSS")))</f>
        <v/>
      </c>
      <c r="AI58" s="9" t="str">
        <f aca="false">IF(Q58="","",IF(Z58="",Q58,IF(Q58=Z58,Q58,"DISCUSS")))</f>
        <v/>
      </c>
      <c r="AJ58" s="9" t="str">
        <f aca="false">IF(R58="","",IF(AA58="",R58,IF(R58=AA58,R58,"DISCUSS")))</f>
        <v/>
      </c>
      <c r="AK58" s="18" t="str">
        <f aca="false">IFERROR(AVERAGE(AB58:AJ58),"")</f>
        <v/>
      </c>
      <c r="AL58" s="9" t="n">
        <f aca="false">COUNT(AB58:AJ58)</f>
        <v>0</v>
      </c>
      <c r="AM58" s="9" t="n">
        <f aca="false">COUNTIF(AB58:AJ58,"DISCUSS")</f>
        <v>0</v>
      </c>
      <c r="AN58" s="9" t="str">
        <f aca="false">IF(AL58=0,"",IF(AM58&gt;0,"Resolve DISCUSS",IF(AL58&lt;Tiers!$B$6,"Unrated",IF(AK58&gt;=Tiers!$B$4,"High",IF(AK58&gt;=Tiers!$B$5,"Medium","Low")))))</f>
        <v/>
      </c>
      <c r="AO58" s="9" t="str">
        <f aca="false">IF(OR(AN58="",AN58="Unrated",AN58="Resolve DISCUSS"),"",COUNTIFS($AN$6:$AN$105,AN58,$AK$6:$AK$105,"&gt;"&amp;AK58)+1)</f>
        <v/>
      </c>
      <c r="AP58" s="12"/>
    </row>
    <row r="59" customFormat="false" ht="15" hidden="false" customHeight="false" outlineLevel="0" collapsed="false">
      <c r="A59" s="15"/>
      <c r="B59" s="3"/>
      <c r="C59" s="16"/>
      <c r="D59" s="16"/>
      <c r="E59" s="12"/>
      <c r="F59" s="17"/>
      <c r="G59" s="17"/>
      <c r="H59" s="12"/>
      <c r="I59" s="17"/>
      <c r="J59" s="17"/>
      <c r="K59" s="17"/>
      <c r="L59" s="17"/>
      <c r="M59" s="17"/>
      <c r="N59" s="17"/>
      <c r="O59" s="17"/>
      <c r="P59" s="17"/>
      <c r="Q59" s="17"/>
      <c r="R59" s="17"/>
      <c r="S59" s="17"/>
      <c r="T59" s="17"/>
      <c r="U59" s="17"/>
      <c r="V59" s="17"/>
      <c r="W59" s="17"/>
      <c r="X59" s="17"/>
      <c r="Y59" s="17"/>
      <c r="Z59" s="17"/>
      <c r="AA59" s="17"/>
      <c r="AB59" s="9" t="str">
        <f aca="false">IF(J59="","",IF(S59="",J59,IF(J59=S59,J59,"DISCUSS")))</f>
        <v/>
      </c>
      <c r="AC59" s="9" t="str">
        <f aca="false">IF(K59="","",IF(T59="",K59,IF(K59=T59,K59,"DISCUSS")))</f>
        <v/>
      </c>
      <c r="AD59" s="9" t="str">
        <f aca="false">IF(L59="","",IF(U59="",L59,IF(L59=U59,L59,"DISCUSS")))</f>
        <v/>
      </c>
      <c r="AE59" s="9" t="str">
        <f aca="false">IF(M59="","",IF(V59="",M59,IF(M59=V59,M59,"DISCUSS")))</f>
        <v/>
      </c>
      <c r="AF59" s="9" t="str">
        <f aca="false">IF(N59="","",IF(W59="",N59,IF(N59=W59,N59,"DISCUSS")))</f>
        <v/>
      </c>
      <c r="AG59" s="9" t="str">
        <f aca="false">IF(O59="","",IF(X59="",O59,IF(O59=X59,O59,"DISCUSS")))</f>
        <v/>
      </c>
      <c r="AH59" s="9" t="str">
        <f aca="false">IF(P59="","",IF(Y59="",P59,IF(P59=Y59,P59,"DISCUSS")))</f>
        <v/>
      </c>
      <c r="AI59" s="9" t="str">
        <f aca="false">IF(Q59="","",IF(Z59="",Q59,IF(Q59=Z59,Q59,"DISCUSS")))</f>
        <v/>
      </c>
      <c r="AJ59" s="9" t="str">
        <f aca="false">IF(R59="","",IF(AA59="",R59,IF(R59=AA59,R59,"DISCUSS")))</f>
        <v/>
      </c>
      <c r="AK59" s="18" t="str">
        <f aca="false">IFERROR(AVERAGE(AB59:AJ59),"")</f>
        <v/>
      </c>
      <c r="AL59" s="9" t="n">
        <f aca="false">COUNT(AB59:AJ59)</f>
        <v>0</v>
      </c>
      <c r="AM59" s="9" t="n">
        <f aca="false">COUNTIF(AB59:AJ59,"DISCUSS")</f>
        <v>0</v>
      </c>
      <c r="AN59" s="9" t="str">
        <f aca="false">IF(AL59=0,"",IF(AM59&gt;0,"Resolve DISCUSS",IF(AL59&lt;Tiers!$B$6,"Unrated",IF(AK59&gt;=Tiers!$B$4,"High",IF(AK59&gt;=Tiers!$B$5,"Medium","Low")))))</f>
        <v/>
      </c>
      <c r="AO59" s="9" t="str">
        <f aca="false">IF(OR(AN59="",AN59="Unrated",AN59="Resolve DISCUSS"),"",COUNTIFS($AN$6:$AN$105,AN59,$AK$6:$AK$105,"&gt;"&amp;AK59)+1)</f>
        <v/>
      </c>
      <c r="AP59" s="12"/>
    </row>
    <row r="60" customFormat="false" ht="15" hidden="false" customHeight="false" outlineLevel="0" collapsed="false">
      <c r="A60" s="15"/>
      <c r="B60" s="3"/>
      <c r="C60" s="16"/>
      <c r="D60" s="16"/>
      <c r="E60" s="12"/>
      <c r="F60" s="17"/>
      <c r="G60" s="17"/>
      <c r="H60" s="12"/>
      <c r="I60" s="17"/>
      <c r="J60" s="17"/>
      <c r="K60" s="17"/>
      <c r="L60" s="17"/>
      <c r="M60" s="17"/>
      <c r="N60" s="17"/>
      <c r="O60" s="17"/>
      <c r="P60" s="17"/>
      <c r="Q60" s="17"/>
      <c r="R60" s="17"/>
      <c r="S60" s="17"/>
      <c r="T60" s="17"/>
      <c r="U60" s="17"/>
      <c r="V60" s="17"/>
      <c r="W60" s="17"/>
      <c r="X60" s="17"/>
      <c r="Y60" s="17"/>
      <c r="Z60" s="17"/>
      <c r="AA60" s="17"/>
      <c r="AB60" s="9" t="str">
        <f aca="false">IF(J60="","",IF(S60="",J60,IF(J60=S60,J60,"DISCUSS")))</f>
        <v/>
      </c>
      <c r="AC60" s="9" t="str">
        <f aca="false">IF(K60="","",IF(T60="",K60,IF(K60=T60,K60,"DISCUSS")))</f>
        <v/>
      </c>
      <c r="AD60" s="9" t="str">
        <f aca="false">IF(L60="","",IF(U60="",L60,IF(L60=U60,L60,"DISCUSS")))</f>
        <v/>
      </c>
      <c r="AE60" s="9" t="str">
        <f aca="false">IF(M60="","",IF(V60="",M60,IF(M60=V60,M60,"DISCUSS")))</f>
        <v/>
      </c>
      <c r="AF60" s="9" t="str">
        <f aca="false">IF(N60="","",IF(W60="",N60,IF(N60=W60,N60,"DISCUSS")))</f>
        <v/>
      </c>
      <c r="AG60" s="9" t="str">
        <f aca="false">IF(O60="","",IF(X60="",O60,IF(O60=X60,O60,"DISCUSS")))</f>
        <v/>
      </c>
      <c r="AH60" s="9" t="str">
        <f aca="false">IF(P60="","",IF(Y60="",P60,IF(P60=Y60,P60,"DISCUSS")))</f>
        <v/>
      </c>
      <c r="AI60" s="9" t="str">
        <f aca="false">IF(Q60="","",IF(Z60="",Q60,IF(Q60=Z60,Q60,"DISCUSS")))</f>
        <v/>
      </c>
      <c r="AJ60" s="9" t="str">
        <f aca="false">IF(R60="","",IF(AA60="",R60,IF(R60=AA60,R60,"DISCUSS")))</f>
        <v/>
      </c>
      <c r="AK60" s="18" t="str">
        <f aca="false">IFERROR(AVERAGE(AB60:AJ60),"")</f>
        <v/>
      </c>
      <c r="AL60" s="9" t="n">
        <f aca="false">COUNT(AB60:AJ60)</f>
        <v>0</v>
      </c>
      <c r="AM60" s="9" t="n">
        <f aca="false">COUNTIF(AB60:AJ60,"DISCUSS")</f>
        <v>0</v>
      </c>
      <c r="AN60" s="9" t="str">
        <f aca="false">IF(AL60=0,"",IF(AM60&gt;0,"Resolve DISCUSS",IF(AL60&lt;Tiers!$B$6,"Unrated",IF(AK60&gt;=Tiers!$B$4,"High",IF(AK60&gt;=Tiers!$B$5,"Medium","Low")))))</f>
        <v/>
      </c>
      <c r="AO60" s="9" t="str">
        <f aca="false">IF(OR(AN60="",AN60="Unrated",AN60="Resolve DISCUSS"),"",COUNTIFS($AN$6:$AN$105,AN60,$AK$6:$AK$105,"&gt;"&amp;AK60)+1)</f>
        <v/>
      </c>
      <c r="AP60" s="12"/>
    </row>
    <row r="61" customFormat="false" ht="15" hidden="false" customHeight="false" outlineLevel="0" collapsed="false">
      <c r="A61" s="15"/>
      <c r="B61" s="3"/>
      <c r="C61" s="16"/>
      <c r="D61" s="16"/>
      <c r="E61" s="12"/>
      <c r="F61" s="17"/>
      <c r="G61" s="17"/>
      <c r="H61" s="12"/>
      <c r="I61" s="17"/>
      <c r="J61" s="17"/>
      <c r="K61" s="17"/>
      <c r="L61" s="17"/>
      <c r="M61" s="17"/>
      <c r="N61" s="17"/>
      <c r="O61" s="17"/>
      <c r="P61" s="17"/>
      <c r="Q61" s="17"/>
      <c r="R61" s="17"/>
      <c r="S61" s="17"/>
      <c r="T61" s="17"/>
      <c r="U61" s="17"/>
      <c r="V61" s="17"/>
      <c r="W61" s="17"/>
      <c r="X61" s="17"/>
      <c r="Y61" s="17"/>
      <c r="Z61" s="17"/>
      <c r="AA61" s="17"/>
      <c r="AB61" s="9" t="str">
        <f aca="false">IF(J61="","",IF(S61="",J61,IF(J61=S61,J61,"DISCUSS")))</f>
        <v/>
      </c>
      <c r="AC61" s="9" t="str">
        <f aca="false">IF(K61="","",IF(T61="",K61,IF(K61=T61,K61,"DISCUSS")))</f>
        <v/>
      </c>
      <c r="AD61" s="9" t="str">
        <f aca="false">IF(L61="","",IF(U61="",L61,IF(L61=U61,L61,"DISCUSS")))</f>
        <v/>
      </c>
      <c r="AE61" s="9" t="str">
        <f aca="false">IF(M61="","",IF(V61="",M61,IF(M61=V61,M61,"DISCUSS")))</f>
        <v/>
      </c>
      <c r="AF61" s="9" t="str">
        <f aca="false">IF(N61="","",IF(W61="",N61,IF(N61=W61,N61,"DISCUSS")))</f>
        <v/>
      </c>
      <c r="AG61" s="9" t="str">
        <f aca="false">IF(O61="","",IF(X61="",O61,IF(O61=X61,O61,"DISCUSS")))</f>
        <v/>
      </c>
      <c r="AH61" s="9" t="str">
        <f aca="false">IF(P61="","",IF(Y61="",P61,IF(P61=Y61,P61,"DISCUSS")))</f>
        <v/>
      </c>
      <c r="AI61" s="9" t="str">
        <f aca="false">IF(Q61="","",IF(Z61="",Q61,IF(Q61=Z61,Q61,"DISCUSS")))</f>
        <v/>
      </c>
      <c r="AJ61" s="9" t="str">
        <f aca="false">IF(R61="","",IF(AA61="",R61,IF(R61=AA61,R61,"DISCUSS")))</f>
        <v/>
      </c>
      <c r="AK61" s="18" t="str">
        <f aca="false">IFERROR(AVERAGE(AB61:AJ61),"")</f>
        <v/>
      </c>
      <c r="AL61" s="9" t="n">
        <f aca="false">COUNT(AB61:AJ61)</f>
        <v>0</v>
      </c>
      <c r="AM61" s="9" t="n">
        <f aca="false">COUNTIF(AB61:AJ61,"DISCUSS")</f>
        <v>0</v>
      </c>
      <c r="AN61" s="9" t="str">
        <f aca="false">IF(AL61=0,"",IF(AM61&gt;0,"Resolve DISCUSS",IF(AL61&lt;Tiers!$B$6,"Unrated",IF(AK61&gt;=Tiers!$B$4,"High",IF(AK61&gt;=Tiers!$B$5,"Medium","Low")))))</f>
        <v/>
      </c>
      <c r="AO61" s="9" t="str">
        <f aca="false">IF(OR(AN61="",AN61="Unrated",AN61="Resolve DISCUSS"),"",COUNTIFS($AN$6:$AN$105,AN61,$AK$6:$AK$105,"&gt;"&amp;AK61)+1)</f>
        <v/>
      </c>
      <c r="AP61" s="12"/>
    </row>
    <row r="62" customFormat="false" ht="15" hidden="false" customHeight="false" outlineLevel="0" collapsed="false">
      <c r="A62" s="15"/>
      <c r="B62" s="3"/>
      <c r="C62" s="16"/>
      <c r="D62" s="16"/>
      <c r="E62" s="12"/>
      <c r="F62" s="17"/>
      <c r="G62" s="17"/>
      <c r="H62" s="12"/>
      <c r="I62" s="17"/>
      <c r="J62" s="17"/>
      <c r="K62" s="17"/>
      <c r="L62" s="17"/>
      <c r="M62" s="17"/>
      <c r="N62" s="17"/>
      <c r="O62" s="17"/>
      <c r="P62" s="17"/>
      <c r="Q62" s="17"/>
      <c r="R62" s="17"/>
      <c r="S62" s="17"/>
      <c r="T62" s="17"/>
      <c r="U62" s="17"/>
      <c r="V62" s="17"/>
      <c r="W62" s="17"/>
      <c r="X62" s="17"/>
      <c r="Y62" s="17"/>
      <c r="Z62" s="17"/>
      <c r="AA62" s="17"/>
      <c r="AB62" s="9" t="str">
        <f aca="false">IF(J62="","",IF(S62="",J62,IF(J62=S62,J62,"DISCUSS")))</f>
        <v/>
      </c>
      <c r="AC62" s="9" t="str">
        <f aca="false">IF(K62="","",IF(T62="",K62,IF(K62=T62,K62,"DISCUSS")))</f>
        <v/>
      </c>
      <c r="AD62" s="9" t="str">
        <f aca="false">IF(L62="","",IF(U62="",L62,IF(L62=U62,L62,"DISCUSS")))</f>
        <v/>
      </c>
      <c r="AE62" s="9" t="str">
        <f aca="false">IF(M62="","",IF(V62="",M62,IF(M62=V62,M62,"DISCUSS")))</f>
        <v/>
      </c>
      <c r="AF62" s="9" t="str">
        <f aca="false">IF(N62="","",IF(W62="",N62,IF(N62=W62,N62,"DISCUSS")))</f>
        <v/>
      </c>
      <c r="AG62" s="9" t="str">
        <f aca="false">IF(O62="","",IF(X62="",O62,IF(O62=X62,O62,"DISCUSS")))</f>
        <v/>
      </c>
      <c r="AH62" s="9" t="str">
        <f aca="false">IF(P62="","",IF(Y62="",P62,IF(P62=Y62,P62,"DISCUSS")))</f>
        <v/>
      </c>
      <c r="AI62" s="9" t="str">
        <f aca="false">IF(Q62="","",IF(Z62="",Q62,IF(Q62=Z62,Q62,"DISCUSS")))</f>
        <v/>
      </c>
      <c r="AJ62" s="9" t="str">
        <f aca="false">IF(R62="","",IF(AA62="",R62,IF(R62=AA62,R62,"DISCUSS")))</f>
        <v/>
      </c>
      <c r="AK62" s="18" t="str">
        <f aca="false">IFERROR(AVERAGE(AB62:AJ62),"")</f>
        <v/>
      </c>
      <c r="AL62" s="9" t="n">
        <f aca="false">COUNT(AB62:AJ62)</f>
        <v>0</v>
      </c>
      <c r="AM62" s="9" t="n">
        <f aca="false">COUNTIF(AB62:AJ62,"DISCUSS")</f>
        <v>0</v>
      </c>
      <c r="AN62" s="9" t="str">
        <f aca="false">IF(AL62=0,"",IF(AM62&gt;0,"Resolve DISCUSS",IF(AL62&lt;Tiers!$B$6,"Unrated",IF(AK62&gt;=Tiers!$B$4,"High",IF(AK62&gt;=Tiers!$B$5,"Medium","Low")))))</f>
        <v/>
      </c>
      <c r="AO62" s="9" t="str">
        <f aca="false">IF(OR(AN62="",AN62="Unrated",AN62="Resolve DISCUSS"),"",COUNTIFS($AN$6:$AN$105,AN62,$AK$6:$AK$105,"&gt;"&amp;AK62)+1)</f>
        <v/>
      </c>
      <c r="AP62" s="12"/>
    </row>
    <row r="63" customFormat="false" ht="15" hidden="false" customHeight="false" outlineLevel="0" collapsed="false">
      <c r="A63" s="15"/>
      <c r="B63" s="3"/>
      <c r="C63" s="16"/>
      <c r="D63" s="16"/>
      <c r="E63" s="12"/>
      <c r="F63" s="17"/>
      <c r="G63" s="17"/>
      <c r="H63" s="12"/>
      <c r="I63" s="17"/>
      <c r="J63" s="17"/>
      <c r="K63" s="17"/>
      <c r="L63" s="17"/>
      <c r="M63" s="17"/>
      <c r="N63" s="17"/>
      <c r="O63" s="17"/>
      <c r="P63" s="17"/>
      <c r="Q63" s="17"/>
      <c r="R63" s="17"/>
      <c r="S63" s="17"/>
      <c r="T63" s="17"/>
      <c r="U63" s="17"/>
      <c r="V63" s="17"/>
      <c r="W63" s="17"/>
      <c r="X63" s="17"/>
      <c r="Y63" s="17"/>
      <c r="Z63" s="17"/>
      <c r="AA63" s="17"/>
      <c r="AB63" s="9" t="str">
        <f aca="false">IF(J63="","",IF(S63="",J63,IF(J63=S63,J63,"DISCUSS")))</f>
        <v/>
      </c>
      <c r="AC63" s="9" t="str">
        <f aca="false">IF(K63="","",IF(T63="",K63,IF(K63=T63,K63,"DISCUSS")))</f>
        <v/>
      </c>
      <c r="AD63" s="9" t="str">
        <f aca="false">IF(L63="","",IF(U63="",L63,IF(L63=U63,L63,"DISCUSS")))</f>
        <v/>
      </c>
      <c r="AE63" s="9" t="str">
        <f aca="false">IF(M63="","",IF(V63="",M63,IF(M63=V63,M63,"DISCUSS")))</f>
        <v/>
      </c>
      <c r="AF63" s="9" t="str">
        <f aca="false">IF(N63="","",IF(W63="",N63,IF(N63=W63,N63,"DISCUSS")))</f>
        <v/>
      </c>
      <c r="AG63" s="9" t="str">
        <f aca="false">IF(O63="","",IF(X63="",O63,IF(O63=X63,O63,"DISCUSS")))</f>
        <v/>
      </c>
      <c r="AH63" s="9" t="str">
        <f aca="false">IF(P63="","",IF(Y63="",P63,IF(P63=Y63,P63,"DISCUSS")))</f>
        <v/>
      </c>
      <c r="AI63" s="9" t="str">
        <f aca="false">IF(Q63="","",IF(Z63="",Q63,IF(Q63=Z63,Q63,"DISCUSS")))</f>
        <v/>
      </c>
      <c r="AJ63" s="9" t="str">
        <f aca="false">IF(R63="","",IF(AA63="",R63,IF(R63=AA63,R63,"DISCUSS")))</f>
        <v/>
      </c>
      <c r="AK63" s="18" t="str">
        <f aca="false">IFERROR(AVERAGE(AB63:AJ63),"")</f>
        <v/>
      </c>
      <c r="AL63" s="9" t="n">
        <f aca="false">COUNT(AB63:AJ63)</f>
        <v>0</v>
      </c>
      <c r="AM63" s="9" t="n">
        <f aca="false">COUNTIF(AB63:AJ63,"DISCUSS")</f>
        <v>0</v>
      </c>
      <c r="AN63" s="9" t="str">
        <f aca="false">IF(AL63=0,"",IF(AM63&gt;0,"Resolve DISCUSS",IF(AL63&lt;Tiers!$B$6,"Unrated",IF(AK63&gt;=Tiers!$B$4,"High",IF(AK63&gt;=Tiers!$B$5,"Medium","Low")))))</f>
        <v/>
      </c>
      <c r="AO63" s="9" t="str">
        <f aca="false">IF(OR(AN63="",AN63="Unrated",AN63="Resolve DISCUSS"),"",COUNTIFS($AN$6:$AN$105,AN63,$AK$6:$AK$105,"&gt;"&amp;AK63)+1)</f>
        <v/>
      </c>
      <c r="AP63" s="12"/>
    </row>
    <row r="64" customFormat="false" ht="15" hidden="false" customHeight="false" outlineLevel="0" collapsed="false">
      <c r="A64" s="15"/>
      <c r="B64" s="3"/>
      <c r="C64" s="16"/>
      <c r="D64" s="16"/>
      <c r="E64" s="12"/>
      <c r="F64" s="17"/>
      <c r="G64" s="17"/>
      <c r="H64" s="12"/>
      <c r="I64" s="17"/>
      <c r="J64" s="17"/>
      <c r="K64" s="17"/>
      <c r="L64" s="17"/>
      <c r="M64" s="17"/>
      <c r="N64" s="17"/>
      <c r="O64" s="17"/>
      <c r="P64" s="17"/>
      <c r="Q64" s="17"/>
      <c r="R64" s="17"/>
      <c r="S64" s="17"/>
      <c r="T64" s="17"/>
      <c r="U64" s="17"/>
      <c r="V64" s="17"/>
      <c r="W64" s="17"/>
      <c r="X64" s="17"/>
      <c r="Y64" s="17"/>
      <c r="Z64" s="17"/>
      <c r="AA64" s="17"/>
      <c r="AB64" s="9" t="str">
        <f aca="false">IF(J64="","",IF(S64="",J64,IF(J64=S64,J64,"DISCUSS")))</f>
        <v/>
      </c>
      <c r="AC64" s="9" t="str">
        <f aca="false">IF(K64="","",IF(T64="",K64,IF(K64=T64,K64,"DISCUSS")))</f>
        <v/>
      </c>
      <c r="AD64" s="9" t="str">
        <f aca="false">IF(L64="","",IF(U64="",L64,IF(L64=U64,L64,"DISCUSS")))</f>
        <v/>
      </c>
      <c r="AE64" s="9" t="str">
        <f aca="false">IF(M64="","",IF(V64="",M64,IF(M64=V64,M64,"DISCUSS")))</f>
        <v/>
      </c>
      <c r="AF64" s="9" t="str">
        <f aca="false">IF(N64="","",IF(W64="",N64,IF(N64=W64,N64,"DISCUSS")))</f>
        <v/>
      </c>
      <c r="AG64" s="9" t="str">
        <f aca="false">IF(O64="","",IF(X64="",O64,IF(O64=X64,O64,"DISCUSS")))</f>
        <v/>
      </c>
      <c r="AH64" s="9" t="str">
        <f aca="false">IF(P64="","",IF(Y64="",P64,IF(P64=Y64,P64,"DISCUSS")))</f>
        <v/>
      </c>
      <c r="AI64" s="9" t="str">
        <f aca="false">IF(Q64="","",IF(Z64="",Q64,IF(Q64=Z64,Q64,"DISCUSS")))</f>
        <v/>
      </c>
      <c r="AJ64" s="9" t="str">
        <f aca="false">IF(R64="","",IF(AA64="",R64,IF(R64=AA64,R64,"DISCUSS")))</f>
        <v/>
      </c>
      <c r="AK64" s="18" t="str">
        <f aca="false">IFERROR(AVERAGE(AB64:AJ64),"")</f>
        <v/>
      </c>
      <c r="AL64" s="9" t="n">
        <f aca="false">COUNT(AB64:AJ64)</f>
        <v>0</v>
      </c>
      <c r="AM64" s="9" t="n">
        <f aca="false">COUNTIF(AB64:AJ64,"DISCUSS")</f>
        <v>0</v>
      </c>
      <c r="AN64" s="9" t="str">
        <f aca="false">IF(AL64=0,"",IF(AM64&gt;0,"Resolve DISCUSS",IF(AL64&lt;Tiers!$B$6,"Unrated",IF(AK64&gt;=Tiers!$B$4,"High",IF(AK64&gt;=Tiers!$B$5,"Medium","Low")))))</f>
        <v/>
      </c>
      <c r="AO64" s="9" t="str">
        <f aca="false">IF(OR(AN64="",AN64="Unrated",AN64="Resolve DISCUSS"),"",COUNTIFS($AN$6:$AN$105,AN64,$AK$6:$AK$105,"&gt;"&amp;AK64)+1)</f>
        <v/>
      </c>
      <c r="AP64" s="12"/>
    </row>
    <row r="65" customFormat="false" ht="15" hidden="false" customHeight="false" outlineLevel="0" collapsed="false">
      <c r="A65" s="15"/>
      <c r="B65" s="3"/>
      <c r="C65" s="16"/>
      <c r="D65" s="16"/>
      <c r="E65" s="12"/>
      <c r="F65" s="17"/>
      <c r="G65" s="17"/>
      <c r="H65" s="12"/>
      <c r="I65" s="17"/>
      <c r="J65" s="17"/>
      <c r="K65" s="17"/>
      <c r="L65" s="17"/>
      <c r="M65" s="17"/>
      <c r="N65" s="17"/>
      <c r="O65" s="17"/>
      <c r="P65" s="17"/>
      <c r="Q65" s="17"/>
      <c r="R65" s="17"/>
      <c r="S65" s="17"/>
      <c r="T65" s="17"/>
      <c r="U65" s="17"/>
      <c r="V65" s="17"/>
      <c r="W65" s="17"/>
      <c r="X65" s="17"/>
      <c r="Y65" s="17"/>
      <c r="Z65" s="17"/>
      <c r="AA65" s="17"/>
      <c r="AB65" s="9" t="str">
        <f aca="false">IF(J65="","",IF(S65="",J65,IF(J65=S65,J65,"DISCUSS")))</f>
        <v/>
      </c>
      <c r="AC65" s="9" t="str">
        <f aca="false">IF(K65="","",IF(T65="",K65,IF(K65=T65,K65,"DISCUSS")))</f>
        <v/>
      </c>
      <c r="AD65" s="9" t="str">
        <f aca="false">IF(L65="","",IF(U65="",L65,IF(L65=U65,L65,"DISCUSS")))</f>
        <v/>
      </c>
      <c r="AE65" s="9" t="str">
        <f aca="false">IF(M65="","",IF(V65="",M65,IF(M65=V65,M65,"DISCUSS")))</f>
        <v/>
      </c>
      <c r="AF65" s="9" t="str">
        <f aca="false">IF(N65="","",IF(W65="",N65,IF(N65=W65,N65,"DISCUSS")))</f>
        <v/>
      </c>
      <c r="AG65" s="9" t="str">
        <f aca="false">IF(O65="","",IF(X65="",O65,IF(O65=X65,O65,"DISCUSS")))</f>
        <v/>
      </c>
      <c r="AH65" s="9" t="str">
        <f aca="false">IF(P65="","",IF(Y65="",P65,IF(P65=Y65,P65,"DISCUSS")))</f>
        <v/>
      </c>
      <c r="AI65" s="9" t="str">
        <f aca="false">IF(Q65="","",IF(Z65="",Q65,IF(Q65=Z65,Q65,"DISCUSS")))</f>
        <v/>
      </c>
      <c r="AJ65" s="9" t="str">
        <f aca="false">IF(R65="","",IF(AA65="",R65,IF(R65=AA65,R65,"DISCUSS")))</f>
        <v/>
      </c>
      <c r="AK65" s="18" t="str">
        <f aca="false">IFERROR(AVERAGE(AB65:AJ65),"")</f>
        <v/>
      </c>
      <c r="AL65" s="9" t="n">
        <f aca="false">COUNT(AB65:AJ65)</f>
        <v>0</v>
      </c>
      <c r="AM65" s="9" t="n">
        <f aca="false">COUNTIF(AB65:AJ65,"DISCUSS")</f>
        <v>0</v>
      </c>
      <c r="AN65" s="9" t="str">
        <f aca="false">IF(AL65=0,"",IF(AM65&gt;0,"Resolve DISCUSS",IF(AL65&lt;Tiers!$B$6,"Unrated",IF(AK65&gt;=Tiers!$B$4,"High",IF(AK65&gt;=Tiers!$B$5,"Medium","Low")))))</f>
        <v/>
      </c>
      <c r="AO65" s="9" t="str">
        <f aca="false">IF(OR(AN65="",AN65="Unrated",AN65="Resolve DISCUSS"),"",COUNTIFS($AN$6:$AN$105,AN65,$AK$6:$AK$105,"&gt;"&amp;AK65)+1)</f>
        <v/>
      </c>
      <c r="AP65" s="12"/>
    </row>
    <row r="66" customFormat="false" ht="15" hidden="false" customHeight="false" outlineLevel="0" collapsed="false">
      <c r="A66" s="15"/>
      <c r="B66" s="3"/>
      <c r="C66" s="16"/>
      <c r="D66" s="16"/>
      <c r="E66" s="12"/>
      <c r="F66" s="17"/>
      <c r="G66" s="17"/>
      <c r="H66" s="12"/>
      <c r="I66" s="17"/>
      <c r="J66" s="17"/>
      <c r="K66" s="17"/>
      <c r="L66" s="17"/>
      <c r="M66" s="17"/>
      <c r="N66" s="17"/>
      <c r="O66" s="17"/>
      <c r="P66" s="17"/>
      <c r="Q66" s="17"/>
      <c r="R66" s="17"/>
      <c r="S66" s="17"/>
      <c r="T66" s="17"/>
      <c r="U66" s="17"/>
      <c r="V66" s="17"/>
      <c r="W66" s="17"/>
      <c r="X66" s="17"/>
      <c r="Y66" s="17"/>
      <c r="Z66" s="17"/>
      <c r="AA66" s="17"/>
      <c r="AB66" s="9" t="str">
        <f aca="false">IF(J66="","",IF(S66="",J66,IF(J66=S66,J66,"DISCUSS")))</f>
        <v/>
      </c>
      <c r="AC66" s="9" t="str">
        <f aca="false">IF(K66="","",IF(T66="",K66,IF(K66=T66,K66,"DISCUSS")))</f>
        <v/>
      </c>
      <c r="AD66" s="9" t="str">
        <f aca="false">IF(L66="","",IF(U66="",L66,IF(L66=U66,L66,"DISCUSS")))</f>
        <v/>
      </c>
      <c r="AE66" s="9" t="str">
        <f aca="false">IF(M66="","",IF(V66="",M66,IF(M66=V66,M66,"DISCUSS")))</f>
        <v/>
      </c>
      <c r="AF66" s="9" t="str">
        <f aca="false">IF(N66="","",IF(W66="",N66,IF(N66=W66,N66,"DISCUSS")))</f>
        <v/>
      </c>
      <c r="AG66" s="9" t="str">
        <f aca="false">IF(O66="","",IF(X66="",O66,IF(O66=X66,O66,"DISCUSS")))</f>
        <v/>
      </c>
      <c r="AH66" s="9" t="str">
        <f aca="false">IF(P66="","",IF(Y66="",P66,IF(P66=Y66,P66,"DISCUSS")))</f>
        <v/>
      </c>
      <c r="AI66" s="9" t="str">
        <f aca="false">IF(Q66="","",IF(Z66="",Q66,IF(Q66=Z66,Q66,"DISCUSS")))</f>
        <v/>
      </c>
      <c r="AJ66" s="9" t="str">
        <f aca="false">IF(R66="","",IF(AA66="",R66,IF(R66=AA66,R66,"DISCUSS")))</f>
        <v/>
      </c>
      <c r="AK66" s="18" t="str">
        <f aca="false">IFERROR(AVERAGE(AB66:AJ66),"")</f>
        <v/>
      </c>
      <c r="AL66" s="9" t="n">
        <f aca="false">COUNT(AB66:AJ66)</f>
        <v>0</v>
      </c>
      <c r="AM66" s="9" t="n">
        <f aca="false">COUNTIF(AB66:AJ66,"DISCUSS")</f>
        <v>0</v>
      </c>
      <c r="AN66" s="9" t="str">
        <f aca="false">IF(AL66=0,"",IF(AM66&gt;0,"Resolve DISCUSS",IF(AL66&lt;Tiers!$B$6,"Unrated",IF(AK66&gt;=Tiers!$B$4,"High",IF(AK66&gt;=Tiers!$B$5,"Medium","Low")))))</f>
        <v/>
      </c>
      <c r="AO66" s="9" t="str">
        <f aca="false">IF(OR(AN66="",AN66="Unrated",AN66="Resolve DISCUSS"),"",COUNTIFS($AN$6:$AN$105,AN66,$AK$6:$AK$105,"&gt;"&amp;AK66)+1)</f>
        <v/>
      </c>
      <c r="AP66" s="12"/>
    </row>
    <row r="67" customFormat="false" ht="15" hidden="false" customHeight="false" outlineLevel="0" collapsed="false">
      <c r="A67" s="15"/>
      <c r="B67" s="3"/>
      <c r="C67" s="16"/>
      <c r="D67" s="16"/>
      <c r="E67" s="12"/>
      <c r="F67" s="17"/>
      <c r="G67" s="17"/>
      <c r="H67" s="12"/>
      <c r="I67" s="17"/>
      <c r="J67" s="17"/>
      <c r="K67" s="17"/>
      <c r="L67" s="17"/>
      <c r="M67" s="17"/>
      <c r="N67" s="17"/>
      <c r="O67" s="17"/>
      <c r="P67" s="17"/>
      <c r="Q67" s="17"/>
      <c r="R67" s="17"/>
      <c r="S67" s="17"/>
      <c r="T67" s="17"/>
      <c r="U67" s="17"/>
      <c r="V67" s="17"/>
      <c r="W67" s="17"/>
      <c r="X67" s="17"/>
      <c r="Y67" s="17"/>
      <c r="Z67" s="17"/>
      <c r="AA67" s="17"/>
      <c r="AB67" s="9" t="str">
        <f aca="false">IF(J67="","",IF(S67="",J67,IF(J67=S67,J67,"DISCUSS")))</f>
        <v/>
      </c>
      <c r="AC67" s="9" t="str">
        <f aca="false">IF(K67="","",IF(T67="",K67,IF(K67=T67,K67,"DISCUSS")))</f>
        <v/>
      </c>
      <c r="AD67" s="9" t="str">
        <f aca="false">IF(L67="","",IF(U67="",L67,IF(L67=U67,L67,"DISCUSS")))</f>
        <v/>
      </c>
      <c r="AE67" s="9" t="str">
        <f aca="false">IF(M67="","",IF(V67="",M67,IF(M67=V67,M67,"DISCUSS")))</f>
        <v/>
      </c>
      <c r="AF67" s="9" t="str">
        <f aca="false">IF(N67="","",IF(W67="",N67,IF(N67=W67,N67,"DISCUSS")))</f>
        <v/>
      </c>
      <c r="AG67" s="9" t="str">
        <f aca="false">IF(O67="","",IF(X67="",O67,IF(O67=X67,O67,"DISCUSS")))</f>
        <v/>
      </c>
      <c r="AH67" s="9" t="str">
        <f aca="false">IF(P67="","",IF(Y67="",P67,IF(P67=Y67,P67,"DISCUSS")))</f>
        <v/>
      </c>
      <c r="AI67" s="9" t="str">
        <f aca="false">IF(Q67="","",IF(Z67="",Q67,IF(Q67=Z67,Q67,"DISCUSS")))</f>
        <v/>
      </c>
      <c r="AJ67" s="9" t="str">
        <f aca="false">IF(R67="","",IF(AA67="",R67,IF(R67=AA67,R67,"DISCUSS")))</f>
        <v/>
      </c>
      <c r="AK67" s="18" t="str">
        <f aca="false">IFERROR(AVERAGE(AB67:AJ67),"")</f>
        <v/>
      </c>
      <c r="AL67" s="9" t="n">
        <f aca="false">COUNT(AB67:AJ67)</f>
        <v>0</v>
      </c>
      <c r="AM67" s="9" t="n">
        <f aca="false">COUNTIF(AB67:AJ67,"DISCUSS")</f>
        <v>0</v>
      </c>
      <c r="AN67" s="9" t="str">
        <f aca="false">IF(AL67=0,"",IF(AM67&gt;0,"Resolve DISCUSS",IF(AL67&lt;Tiers!$B$6,"Unrated",IF(AK67&gt;=Tiers!$B$4,"High",IF(AK67&gt;=Tiers!$B$5,"Medium","Low")))))</f>
        <v/>
      </c>
      <c r="AO67" s="9" t="str">
        <f aca="false">IF(OR(AN67="",AN67="Unrated",AN67="Resolve DISCUSS"),"",COUNTIFS($AN$6:$AN$105,AN67,$AK$6:$AK$105,"&gt;"&amp;AK67)+1)</f>
        <v/>
      </c>
      <c r="AP67" s="12"/>
    </row>
    <row r="68" customFormat="false" ht="15" hidden="false" customHeight="false" outlineLevel="0" collapsed="false">
      <c r="A68" s="15"/>
      <c r="B68" s="3"/>
      <c r="C68" s="16"/>
      <c r="D68" s="16"/>
      <c r="E68" s="12"/>
      <c r="F68" s="17"/>
      <c r="G68" s="17"/>
      <c r="H68" s="12"/>
      <c r="I68" s="17"/>
      <c r="J68" s="17"/>
      <c r="K68" s="17"/>
      <c r="L68" s="17"/>
      <c r="M68" s="17"/>
      <c r="N68" s="17"/>
      <c r="O68" s="17"/>
      <c r="P68" s="17"/>
      <c r="Q68" s="17"/>
      <c r="R68" s="17"/>
      <c r="S68" s="17"/>
      <c r="T68" s="17"/>
      <c r="U68" s="17"/>
      <c r="V68" s="17"/>
      <c r="W68" s="17"/>
      <c r="X68" s="17"/>
      <c r="Y68" s="17"/>
      <c r="Z68" s="17"/>
      <c r="AA68" s="17"/>
      <c r="AB68" s="9" t="str">
        <f aca="false">IF(J68="","",IF(S68="",J68,IF(J68=S68,J68,"DISCUSS")))</f>
        <v/>
      </c>
      <c r="AC68" s="9" t="str">
        <f aca="false">IF(K68="","",IF(T68="",K68,IF(K68=T68,K68,"DISCUSS")))</f>
        <v/>
      </c>
      <c r="AD68" s="9" t="str">
        <f aca="false">IF(L68="","",IF(U68="",L68,IF(L68=U68,L68,"DISCUSS")))</f>
        <v/>
      </c>
      <c r="AE68" s="9" t="str">
        <f aca="false">IF(M68="","",IF(V68="",M68,IF(M68=V68,M68,"DISCUSS")))</f>
        <v/>
      </c>
      <c r="AF68" s="9" t="str">
        <f aca="false">IF(N68="","",IF(W68="",N68,IF(N68=W68,N68,"DISCUSS")))</f>
        <v/>
      </c>
      <c r="AG68" s="9" t="str">
        <f aca="false">IF(O68="","",IF(X68="",O68,IF(O68=X68,O68,"DISCUSS")))</f>
        <v/>
      </c>
      <c r="AH68" s="9" t="str">
        <f aca="false">IF(P68="","",IF(Y68="",P68,IF(P68=Y68,P68,"DISCUSS")))</f>
        <v/>
      </c>
      <c r="AI68" s="9" t="str">
        <f aca="false">IF(Q68="","",IF(Z68="",Q68,IF(Q68=Z68,Q68,"DISCUSS")))</f>
        <v/>
      </c>
      <c r="AJ68" s="9" t="str">
        <f aca="false">IF(R68="","",IF(AA68="",R68,IF(R68=AA68,R68,"DISCUSS")))</f>
        <v/>
      </c>
      <c r="AK68" s="18" t="str">
        <f aca="false">IFERROR(AVERAGE(AB68:AJ68),"")</f>
        <v/>
      </c>
      <c r="AL68" s="9" t="n">
        <f aca="false">COUNT(AB68:AJ68)</f>
        <v>0</v>
      </c>
      <c r="AM68" s="9" t="n">
        <f aca="false">COUNTIF(AB68:AJ68,"DISCUSS")</f>
        <v>0</v>
      </c>
      <c r="AN68" s="9" t="str">
        <f aca="false">IF(AL68=0,"",IF(AM68&gt;0,"Resolve DISCUSS",IF(AL68&lt;Tiers!$B$6,"Unrated",IF(AK68&gt;=Tiers!$B$4,"High",IF(AK68&gt;=Tiers!$B$5,"Medium","Low")))))</f>
        <v/>
      </c>
      <c r="AO68" s="9" t="str">
        <f aca="false">IF(OR(AN68="",AN68="Unrated",AN68="Resolve DISCUSS"),"",COUNTIFS($AN$6:$AN$105,AN68,$AK$6:$AK$105,"&gt;"&amp;AK68)+1)</f>
        <v/>
      </c>
      <c r="AP68" s="12"/>
    </row>
    <row r="69" customFormat="false" ht="15" hidden="false" customHeight="false" outlineLevel="0" collapsed="false">
      <c r="A69" s="15"/>
      <c r="B69" s="3"/>
      <c r="C69" s="16"/>
      <c r="D69" s="16"/>
      <c r="E69" s="12"/>
      <c r="F69" s="17"/>
      <c r="G69" s="17"/>
      <c r="H69" s="12"/>
      <c r="I69" s="17"/>
      <c r="J69" s="17"/>
      <c r="K69" s="17"/>
      <c r="L69" s="17"/>
      <c r="M69" s="17"/>
      <c r="N69" s="17"/>
      <c r="O69" s="17"/>
      <c r="P69" s="17"/>
      <c r="Q69" s="17"/>
      <c r="R69" s="17"/>
      <c r="S69" s="17"/>
      <c r="T69" s="17"/>
      <c r="U69" s="17"/>
      <c r="V69" s="17"/>
      <c r="W69" s="17"/>
      <c r="X69" s="17"/>
      <c r="Y69" s="17"/>
      <c r="Z69" s="17"/>
      <c r="AA69" s="17"/>
      <c r="AB69" s="9" t="str">
        <f aca="false">IF(J69="","",IF(S69="",J69,IF(J69=S69,J69,"DISCUSS")))</f>
        <v/>
      </c>
      <c r="AC69" s="9" t="str">
        <f aca="false">IF(K69="","",IF(T69="",K69,IF(K69=T69,K69,"DISCUSS")))</f>
        <v/>
      </c>
      <c r="AD69" s="9" t="str">
        <f aca="false">IF(L69="","",IF(U69="",L69,IF(L69=U69,L69,"DISCUSS")))</f>
        <v/>
      </c>
      <c r="AE69" s="9" t="str">
        <f aca="false">IF(M69="","",IF(V69="",M69,IF(M69=V69,M69,"DISCUSS")))</f>
        <v/>
      </c>
      <c r="AF69" s="9" t="str">
        <f aca="false">IF(N69="","",IF(W69="",N69,IF(N69=W69,N69,"DISCUSS")))</f>
        <v/>
      </c>
      <c r="AG69" s="9" t="str">
        <f aca="false">IF(O69="","",IF(X69="",O69,IF(O69=X69,O69,"DISCUSS")))</f>
        <v/>
      </c>
      <c r="AH69" s="9" t="str">
        <f aca="false">IF(P69="","",IF(Y69="",P69,IF(P69=Y69,P69,"DISCUSS")))</f>
        <v/>
      </c>
      <c r="AI69" s="9" t="str">
        <f aca="false">IF(Q69="","",IF(Z69="",Q69,IF(Q69=Z69,Q69,"DISCUSS")))</f>
        <v/>
      </c>
      <c r="AJ69" s="9" t="str">
        <f aca="false">IF(R69="","",IF(AA69="",R69,IF(R69=AA69,R69,"DISCUSS")))</f>
        <v/>
      </c>
      <c r="AK69" s="18" t="str">
        <f aca="false">IFERROR(AVERAGE(AB69:AJ69),"")</f>
        <v/>
      </c>
      <c r="AL69" s="9" t="n">
        <f aca="false">COUNT(AB69:AJ69)</f>
        <v>0</v>
      </c>
      <c r="AM69" s="9" t="n">
        <f aca="false">COUNTIF(AB69:AJ69,"DISCUSS")</f>
        <v>0</v>
      </c>
      <c r="AN69" s="9" t="str">
        <f aca="false">IF(AL69=0,"",IF(AM69&gt;0,"Resolve DISCUSS",IF(AL69&lt;Tiers!$B$6,"Unrated",IF(AK69&gt;=Tiers!$B$4,"High",IF(AK69&gt;=Tiers!$B$5,"Medium","Low")))))</f>
        <v/>
      </c>
      <c r="AO69" s="9" t="str">
        <f aca="false">IF(OR(AN69="",AN69="Unrated",AN69="Resolve DISCUSS"),"",COUNTIFS($AN$6:$AN$105,AN69,$AK$6:$AK$105,"&gt;"&amp;AK69)+1)</f>
        <v/>
      </c>
      <c r="AP69" s="12"/>
    </row>
    <row r="70" customFormat="false" ht="15" hidden="false" customHeight="false" outlineLevel="0" collapsed="false">
      <c r="A70" s="15"/>
      <c r="B70" s="3"/>
      <c r="C70" s="16"/>
      <c r="D70" s="16"/>
      <c r="E70" s="12"/>
      <c r="F70" s="17"/>
      <c r="G70" s="17"/>
      <c r="H70" s="12"/>
      <c r="I70" s="17"/>
      <c r="J70" s="17"/>
      <c r="K70" s="17"/>
      <c r="L70" s="17"/>
      <c r="M70" s="17"/>
      <c r="N70" s="17"/>
      <c r="O70" s="17"/>
      <c r="P70" s="17"/>
      <c r="Q70" s="17"/>
      <c r="R70" s="17"/>
      <c r="S70" s="17"/>
      <c r="T70" s="17"/>
      <c r="U70" s="17"/>
      <c r="V70" s="17"/>
      <c r="W70" s="17"/>
      <c r="X70" s="17"/>
      <c r="Y70" s="17"/>
      <c r="Z70" s="17"/>
      <c r="AA70" s="17"/>
      <c r="AB70" s="9" t="str">
        <f aca="false">IF(J70="","",IF(S70="",J70,IF(J70=S70,J70,"DISCUSS")))</f>
        <v/>
      </c>
      <c r="AC70" s="9" t="str">
        <f aca="false">IF(K70="","",IF(T70="",K70,IF(K70=T70,K70,"DISCUSS")))</f>
        <v/>
      </c>
      <c r="AD70" s="9" t="str">
        <f aca="false">IF(L70="","",IF(U70="",L70,IF(L70=U70,L70,"DISCUSS")))</f>
        <v/>
      </c>
      <c r="AE70" s="9" t="str">
        <f aca="false">IF(M70="","",IF(V70="",M70,IF(M70=V70,M70,"DISCUSS")))</f>
        <v/>
      </c>
      <c r="AF70" s="9" t="str">
        <f aca="false">IF(N70="","",IF(W70="",N70,IF(N70=W70,N70,"DISCUSS")))</f>
        <v/>
      </c>
      <c r="AG70" s="9" t="str">
        <f aca="false">IF(O70="","",IF(X70="",O70,IF(O70=X70,O70,"DISCUSS")))</f>
        <v/>
      </c>
      <c r="AH70" s="9" t="str">
        <f aca="false">IF(P70="","",IF(Y70="",P70,IF(P70=Y70,P70,"DISCUSS")))</f>
        <v/>
      </c>
      <c r="AI70" s="9" t="str">
        <f aca="false">IF(Q70="","",IF(Z70="",Q70,IF(Q70=Z70,Q70,"DISCUSS")))</f>
        <v/>
      </c>
      <c r="AJ70" s="9" t="str">
        <f aca="false">IF(R70="","",IF(AA70="",R70,IF(R70=AA70,R70,"DISCUSS")))</f>
        <v/>
      </c>
      <c r="AK70" s="18" t="str">
        <f aca="false">IFERROR(AVERAGE(AB70:AJ70),"")</f>
        <v/>
      </c>
      <c r="AL70" s="9" t="n">
        <f aca="false">COUNT(AB70:AJ70)</f>
        <v>0</v>
      </c>
      <c r="AM70" s="9" t="n">
        <f aca="false">COUNTIF(AB70:AJ70,"DISCUSS")</f>
        <v>0</v>
      </c>
      <c r="AN70" s="9" t="str">
        <f aca="false">IF(AL70=0,"",IF(AM70&gt;0,"Resolve DISCUSS",IF(AL70&lt;Tiers!$B$6,"Unrated",IF(AK70&gt;=Tiers!$B$4,"High",IF(AK70&gt;=Tiers!$B$5,"Medium","Low")))))</f>
        <v/>
      </c>
      <c r="AO70" s="9" t="str">
        <f aca="false">IF(OR(AN70="",AN70="Unrated",AN70="Resolve DISCUSS"),"",COUNTIFS($AN$6:$AN$105,AN70,$AK$6:$AK$105,"&gt;"&amp;AK70)+1)</f>
        <v/>
      </c>
      <c r="AP70" s="12"/>
    </row>
    <row r="71" customFormat="false" ht="15" hidden="false" customHeight="false" outlineLevel="0" collapsed="false">
      <c r="A71" s="15"/>
      <c r="B71" s="3"/>
      <c r="C71" s="16"/>
      <c r="D71" s="16"/>
      <c r="E71" s="12"/>
      <c r="F71" s="17"/>
      <c r="G71" s="17"/>
      <c r="H71" s="12"/>
      <c r="I71" s="17"/>
      <c r="J71" s="17"/>
      <c r="K71" s="17"/>
      <c r="L71" s="17"/>
      <c r="M71" s="17"/>
      <c r="N71" s="17"/>
      <c r="O71" s="17"/>
      <c r="P71" s="17"/>
      <c r="Q71" s="17"/>
      <c r="R71" s="17"/>
      <c r="S71" s="17"/>
      <c r="T71" s="17"/>
      <c r="U71" s="17"/>
      <c r="V71" s="17"/>
      <c r="W71" s="17"/>
      <c r="X71" s="17"/>
      <c r="Y71" s="17"/>
      <c r="Z71" s="17"/>
      <c r="AA71" s="17"/>
      <c r="AB71" s="9" t="str">
        <f aca="false">IF(J71="","",IF(S71="",J71,IF(J71=S71,J71,"DISCUSS")))</f>
        <v/>
      </c>
      <c r="AC71" s="9" t="str">
        <f aca="false">IF(K71="","",IF(T71="",K71,IF(K71=T71,K71,"DISCUSS")))</f>
        <v/>
      </c>
      <c r="AD71" s="9" t="str">
        <f aca="false">IF(L71="","",IF(U71="",L71,IF(L71=U71,L71,"DISCUSS")))</f>
        <v/>
      </c>
      <c r="AE71" s="9" t="str">
        <f aca="false">IF(M71="","",IF(V71="",M71,IF(M71=V71,M71,"DISCUSS")))</f>
        <v/>
      </c>
      <c r="AF71" s="9" t="str">
        <f aca="false">IF(N71="","",IF(W71="",N71,IF(N71=W71,N71,"DISCUSS")))</f>
        <v/>
      </c>
      <c r="AG71" s="9" t="str">
        <f aca="false">IF(O71="","",IF(X71="",O71,IF(O71=X71,O71,"DISCUSS")))</f>
        <v/>
      </c>
      <c r="AH71" s="9" t="str">
        <f aca="false">IF(P71="","",IF(Y71="",P71,IF(P71=Y71,P71,"DISCUSS")))</f>
        <v/>
      </c>
      <c r="AI71" s="9" t="str">
        <f aca="false">IF(Q71="","",IF(Z71="",Q71,IF(Q71=Z71,Q71,"DISCUSS")))</f>
        <v/>
      </c>
      <c r="AJ71" s="9" t="str">
        <f aca="false">IF(R71="","",IF(AA71="",R71,IF(R71=AA71,R71,"DISCUSS")))</f>
        <v/>
      </c>
      <c r="AK71" s="18" t="str">
        <f aca="false">IFERROR(AVERAGE(AB71:AJ71),"")</f>
        <v/>
      </c>
      <c r="AL71" s="9" t="n">
        <f aca="false">COUNT(AB71:AJ71)</f>
        <v>0</v>
      </c>
      <c r="AM71" s="9" t="n">
        <f aca="false">COUNTIF(AB71:AJ71,"DISCUSS")</f>
        <v>0</v>
      </c>
      <c r="AN71" s="9" t="str">
        <f aca="false">IF(AL71=0,"",IF(AM71&gt;0,"Resolve DISCUSS",IF(AL71&lt;Tiers!$B$6,"Unrated",IF(AK71&gt;=Tiers!$B$4,"High",IF(AK71&gt;=Tiers!$B$5,"Medium","Low")))))</f>
        <v/>
      </c>
      <c r="AO71" s="9" t="str">
        <f aca="false">IF(OR(AN71="",AN71="Unrated",AN71="Resolve DISCUSS"),"",COUNTIFS($AN$6:$AN$105,AN71,$AK$6:$AK$105,"&gt;"&amp;AK71)+1)</f>
        <v/>
      </c>
      <c r="AP71" s="12"/>
    </row>
    <row r="72" customFormat="false" ht="15" hidden="false" customHeight="false" outlineLevel="0" collapsed="false">
      <c r="A72" s="15"/>
      <c r="B72" s="3"/>
      <c r="C72" s="16"/>
      <c r="D72" s="16"/>
      <c r="E72" s="12"/>
      <c r="F72" s="17"/>
      <c r="G72" s="17"/>
      <c r="H72" s="12"/>
      <c r="I72" s="17"/>
      <c r="J72" s="17"/>
      <c r="K72" s="17"/>
      <c r="L72" s="17"/>
      <c r="M72" s="17"/>
      <c r="N72" s="17"/>
      <c r="O72" s="17"/>
      <c r="P72" s="17"/>
      <c r="Q72" s="17"/>
      <c r="R72" s="17"/>
      <c r="S72" s="17"/>
      <c r="T72" s="17"/>
      <c r="U72" s="17"/>
      <c r="V72" s="17"/>
      <c r="W72" s="17"/>
      <c r="X72" s="17"/>
      <c r="Y72" s="17"/>
      <c r="Z72" s="17"/>
      <c r="AA72" s="17"/>
      <c r="AB72" s="9" t="str">
        <f aca="false">IF(J72="","",IF(S72="",J72,IF(J72=S72,J72,"DISCUSS")))</f>
        <v/>
      </c>
      <c r="AC72" s="9" t="str">
        <f aca="false">IF(K72="","",IF(T72="",K72,IF(K72=T72,K72,"DISCUSS")))</f>
        <v/>
      </c>
      <c r="AD72" s="9" t="str">
        <f aca="false">IF(L72="","",IF(U72="",L72,IF(L72=U72,L72,"DISCUSS")))</f>
        <v/>
      </c>
      <c r="AE72" s="9" t="str">
        <f aca="false">IF(M72="","",IF(V72="",M72,IF(M72=V72,M72,"DISCUSS")))</f>
        <v/>
      </c>
      <c r="AF72" s="9" t="str">
        <f aca="false">IF(N72="","",IF(W72="",N72,IF(N72=W72,N72,"DISCUSS")))</f>
        <v/>
      </c>
      <c r="AG72" s="9" t="str">
        <f aca="false">IF(O72="","",IF(X72="",O72,IF(O72=X72,O72,"DISCUSS")))</f>
        <v/>
      </c>
      <c r="AH72" s="9" t="str">
        <f aca="false">IF(P72="","",IF(Y72="",P72,IF(P72=Y72,P72,"DISCUSS")))</f>
        <v/>
      </c>
      <c r="AI72" s="9" t="str">
        <f aca="false">IF(Q72="","",IF(Z72="",Q72,IF(Q72=Z72,Q72,"DISCUSS")))</f>
        <v/>
      </c>
      <c r="AJ72" s="9" t="str">
        <f aca="false">IF(R72="","",IF(AA72="",R72,IF(R72=AA72,R72,"DISCUSS")))</f>
        <v/>
      </c>
      <c r="AK72" s="18" t="str">
        <f aca="false">IFERROR(AVERAGE(AB72:AJ72),"")</f>
        <v/>
      </c>
      <c r="AL72" s="9" t="n">
        <f aca="false">COUNT(AB72:AJ72)</f>
        <v>0</v>
      </c>
      <c r="AM72" s="9" t="n">
        <f aca="false">COUNTIF(AB72:AJ72,"DISCUSS")</f>
        <v>0</v>
      </c>
      <c r="AN72" s="9" t="str">
        <f aca="false">IF(AL72=0,"",IF(AM72&gt;0,"Resolve DISCUSS",IF(AL72&lt;Tiers!$B$6,"Unrated",IF(AK72&gt;=Tiers!$B$4,"High",IF(AK72&gt;=Tiers!$B$5,"Medium","Low")))))</f>
        <v/>
      </c>
      <c r="AO72" s="9" t="str">
        <f aca="false">IF(OR(AN72="",AN72="Unrated",AN72="Resolve DISCUSS"),"",COUNTIFS($AN$6:$AN$105,AN72,$AK$6:$AK$105,"&gt;"&amp;AK72)+1)</f>
        <v/>
      </c>
      <c r="AP72" s="12"/>
    </row>
    <row r="73" customFormat="false" ht="15" hidden="false" customHeight="false" outlineLevel="0" collapsed="false">
      <c r="A73" s="15"/>
      <c r="B73" s="3"/>
      <c r="C73" s="16"/>
      <c r="D73" s="16"/>
      <c r="E73" s="12"/>
      <c r="F73" s="17"/>
      <c r="G73" s="17"/>
      <c r="H73" s="12"/>
      <c r="I73" s="17"/>
      <c r="J73" s="17"/>
      <c r="K73" s="17"/>
      <c r="L73" s="17"/>
      <c r="M73" s="17"/>
      <c r="N73" s="17"/>
      <c r="O73" s="17"/>
      <c r="P73" s="17"/>
      <c r="Q73" s="17"/>
      <c r="R73" s="17"/>
      <c r="S73" s="17"/>
      <c r="T73" s="17"/>
      <c r="U73" s="17"/>
      <c r="V73" s="17"/>
      <c r="W73" s="17"/>
      <c r="X73" s="17"/>
      <c r="Y73" s="17"/>
      <c r="Z73" s="17"/>
      <c r="AA73" s="17"/>
      <c r="AB73" s="9" t="str">
        <f aca="false">IF(J73="","",IF(S73="",J73,IF(J73=S73,J73,"DISCUSS")))</f>
        <v/>
      </c>
      <c r="AC73" s="9" t="str">
        <f aca="false">IF(K73="","",IF(T73="",K73,IF(K73=T73,K73,"DISCUSS")))</f>
        <v/>
      </c>
      <c r="AD73" s="9" t="str">
        <f aca="false">IF(L73="","",IF(U73="",L73,IF(L73=U73,L73,"DISCUSS")))</f>
        <v/>
      </c>
      <c r="AE73" s="9" t="str">
        <f aca="false">IF(M73="","",IF(V73="",M73,IF(M73=V73,M73,"DISCUSS")))</f>
        <v/>
      </c>
      <c r="AF73" s="9" t="str">
        <f aca="false">IF(N73="","",IF(W73="",N73,IF(N73=W73,N73,"DISCUSS")))</f>
        <v/>
      </c>
      <c r="AG73" s="9" t="str">
        <f aca="false">IF(O73="","",IF(X73="",O73,IF(O73=X73,O73,"DISCUSS")))</f>
        <v/>
      </c>
      <c r="AH73" s="9" t="str">
        <f aca="false">IF(P73="","",IF(Y73="",P73,IF(P73=Y73,P73,"DISCUSS")))</f>
        <v/>
      </c>
      <c r="AI73" s="9" t="str">
        <f aca="false">IF(Q73="","",IF(Z73="",Q73,IF(Q73=Z73,Q73,"DISCUSS")))</f>
        <v/>
      </c>
      <c r="AJ73" s="9" t="str">
        <f aca="false">IF(R73="","",IF(AA73="",R73,IF(R73=AA73,R73,"DISCUSS")))</f>
        <v/>
      </c>
      <c r="AK73" s="18" t="str">
        <f aca="false">IFERROR(AVERAGE(AB73:AJ73),"")</f>
        <v/>
      </c>
      <c r="AL73" s="9" t="n">
        <f aca="false">COUNT(AB73:AJ73)</f>
        <v>0</v>
      </c>
      <c r="AM73" s="9" t="n">
        <f aca="false">COUNTIF(AB73:AJ73,"DISCUSS")</f>
        <v>0</v>
      </c>
      <c r="AN73" s="9" t="str">
        <f aca="false">IF(AL73=0,"",IF(AM73&gt;0,"Resolve DISCUSS",IF(AL73&lt;Tiers!$B$6,"Unrated",IF(AK73&gt;=Tiers!$B$4,"High",IF(AK73&gt;=Tiers!$B$5,"Medium","Low")))))</f>
        <v/>
      </c>
      <c r="AO73" s="9" t="str">
        <f aca="false">IF(OR(AN73="",AN73="Unrated",AN73="Resolve DISCUSS"),"",COUNTIFS($AN$6:$AN$105,AN73,$AK$6:$AK$105,"&gt;"&amp;AK73)+1)</f>
        <v/>
      </c>
      <c r="AP73" s="12"/>
    </row>
    <row r="74" customFormat="false" ht="15" hidden="false" customHeight="false" outlineLevel="0" collapsed="false">
      <c r="A74" s="15"/>
      <c r="B74" s="3"/>
      <c r="C74" s="16"/>
      <c r="D74" s="16"/>
      <c r="E74" s="12"/>
      <c r="F74" s="17"/>
      <c r="G74" s="17"/>
      <c r="H74" s="12"/>
      <c r="I74" s="17"/>
      <c r="J74" s="17"/>
      <c r="K74" s="17"/>
      <c r="L74" s="17"/>
      <c r="M74" s="17"/>
      <c r="N74" s="17"/>
      <c r="O74" s="17"/>
      <c r="P74" s="17"/>
      <c r="Q74" s="17"/>
      <c r="R74" s="17"/>
      <c r="S74" s="17"/>
      <c r="T74" s="17"/>
      <c r="U74" s="17"/>
      <c r="V74" s="17"/>
      <c r="W74" s="17"/>
      <c r="X74" s="17"/>
      <c r="Y74" s="17"/>
      <c r="Z74" s="17"/>
      <c r="AA74" s="17"/>
      <c r="AB74" s="9" t="str">
        <f aca="false">IF(J74="","",IF(S74="",J74,IF(J74=S74,J74,"DISCUSS")))</f>
        <v/>
      </c>
      <c r="AC74" s="9" t="str">
        <f aca="false">IF(K74="","",IF(T74="",K74,IF(K74=T74,K74,"DISCUSS")))</f>
        <v/>
      </c>
      <c r="AD74" s="9" t="str">
        <f aca="false">IF(L74="","",IF(U74="",L74,IF(L74=U74,L74,"DISCUSS")))</f>
        <v/>
      </c>
      <c r="AE74" s="9" t="str">
        <f aca="false">IF(M74="","",IF(V74="",M74,IF(M74=V74,M74,"DISCUSS")))</f>
        <v/>
      </c>
      <c r="AF74" s="9" t="str">
        <f aca="false">IF(N74="","",IF(W74="",N74,IF(N74=W74,N74,"DISCUSS")))</f>
        <v/>
      </c>
      <c r="AG74" s="9" t="str">
        <f aca="false">IF(O74="","",IF(X74="",O74,IF(O74=X74,O74,"DISCUSS")))</f>
        <v/>
      </c>
      <c r="AH74" s="9" t="str">
        <f aca="false">IF(P74="","",IF(Y74="",P74,IF(P74=Y74,P74,"DISCUSS")))</f>
        <v/>
      </c>
      <c r="AI74" s="9" t="str">
        <f aca="false">IF(Q74="","",IF(Z74="",Q74,IF(Q74=Z74,Q74,"DISCUSS")))</f>
        <v/>
      </c>
      <c r="AJ74" s="9" t="str">
        <f aca="false">IF(R74="","",IF(AA74="",R74,IF(R74=AA74,R74,"DISCUSS")))</f>
        <v/>
      </c>
      <c r="AK74" s="18" t="str">
        <f aca="false">IFERROR(AVERAGE(AB74:AJ74),"")</f>
        <v/>
      </c>
      <c r="AL74" s="9" t="n">
        <f aca="false">COUNT(AB74:AJ74)</f>
        <v>0</v>
      </c>
      <c r="AM74" s="9" t="n">
        <f aca="false">COUNTIF(AB74:AJ74,"DISCUSS")</f>
        <v>0</v>
      </c>
      <c r="AN74" s="9" t="str">
        <f aca="false">IF(AL74=0,"",IF(AM74&gt;0,"Resolve DISCUSS",IF(AL74&lt;Tiers!$B$6,"Unrated",IF(AK74&gt;=Tiers!$B$4,"High",IF(AK74&gt;=Tiers!$B$5,"Medium","Low")))))</f>
        <v/>
      </c>
      <c r="AO74" s="9" t="str">
        <f aca="false">IF(OR(AN74="",AN74="Unrated",AN74="Resolve DISCUSS"),"",COUNTIFS($AN$6:$AN$105,AN74,$AK$6:$AK$105,"&gt;"&amp;AK74)+1)</f>
        <v/>
      </c>
      <c r="AP74" s="12"/>
    </row>
    <row r="75" customFormat="false" ht="15" hidden="false" customHeight="false" outlineLevel="0" collapsed="false">
      <c r="A75" s="15"/>
      <c r="B75" s="3"/>
      <c r="C75" s="16"/>
      <c r="D75" s="16"/>
      <c r="E75" s="12"/>
      <c r="F75" s="17"/>
      <c r="G75" s="17"/>
      <c r="H75" s="12"/>
      <c r="I75" s="17"/>
      <c r="J75" s="17"/>
      <c r="K75" s="17"/>
      <c r="L75" s="17"/>
      <c r="M75" s="17"/>
      <c r="N75" s="17"/>
      <c r="O75" s="17"/>
      <c r="P75" s="17"/>
      <c r="Q75" s="17"/>
      <c r="R75" s="17"/>
      <c r="S75" s="17"/>
      <c r="T75" s="17"/>
      <c r="U75" s="17"/>
      <c r="V75" s="17"/>
      <c r="W75" s="17"/>
      <c r="X75" s="17"/>
      <c r="Y75" s="17"/>
      <c r="Z75" s="17"/>
      <c r="AA75" s="17"/>
      <c r="AB75" s="9" t="str">
        <f aca="false">IF(J75="","",IF(S75="",J75,IF(J75=S75,J75,"DISCUSS")))</f>
        <v/>
      </c>
      <c r="AC75" s="9" t="str">
        <f aca="false">IF(K75="","",IF(T75="",K75,IF(K75=T75,K75,"DISCUSS")))</f>
        <v/>
      </c>
      <c r="AD75" s="9" t="str">
        <f aca="false">IF(L75="","",IF(U75="",L75,IF(L75=U75,L75,"DISCUSS")))</f>
        <v/>
      </c>
      <c r="AE75" s="9" t="str">
        <f aca="false">IF(M75="","",IF(V75="",M75,IF(M75=V75,M75,"DISCUSS")))</f>
        <v/>
      </c>
      <c r="AF75" s="9" t="str">
        <f aca="false">IF(N75="","",IF(W75="",N75,IF(N75=W75,N75,"DISCUSS")))</f>
        <v/>
      </c>
      <c r="AG75" s="9" t="str">
        <f aca="false">IF(O75="","",IF(X75="",O75,IF(O75=X75,O75,"DISCUSS")))</f>
        <v/>
      </c>
      <c r="AH75" s="9" t="str">
        <f aca="false">IF(P75="","",IF(Y75="",P75,IF(P75=Y75,P75,"DISCUSS")))</f>
        <v/>
      </c>
      <c r="AI75" s="9" t="str">
        <f aca="false">IF(Q75="","",IF(Z75="",Q75,IF(Q75=Z75,Q75,"DISCUSS")))</f>
        <v/>
      </c>
      <c r="AJ75" s="9" t="str">
        <f aca="false">IF(R75="","",IF(AA75="",R75,IF(R75=AA75,R75,"DISCUSS")))</f>
        <v/>
      </c>
      <c r="AK75" s="18" t="str">
        <f aca="false">IFERROR(AVERAGE(AB75:AJ75),"")</f>
        <v/>
      </c>
      <c r="AL75" s="9" t="n">
        <f aca="false">COUNT(AB75:AJ75)</f>
        <v>0</v>
      </c>
      <c r="AM75" s="9" t="n">
        <f aca="false">COUNTIF(AB75:AJ75,"DISCUSS")</f>
        <v>0</v>
      </c>
      <c r="AN75" s="9" t="str">
        <f aca="false">IF(AL75=0,"",IF(AM75&gt;0,"Resolve DISCUSS",IF(AL75&lt;Tiers!$B$6,"Unrated",IF(AK75&gt;=Tiers!$B$4,"High",IF(AK75&gt;=Tiers!$B$5,"Medium","Low")))))</f>
        <v/>
      </c>
      <c r="AO75" s="9" t="str">
        <f aca="false">IF(OR(AN75="",AN75="Unrated",AN75="Resolve DISCUSS"),"",COUNTIFS($AN$6:$AN$105,AN75,$AK$6:$AK$105,"&gt;"&amp;AK75)+1)</f>
        <v/>
      </c>
      <c r="AP75" s="12"/>
    </row>
    <row r="76" customFormat="false" ht="15" hidden="false" customHeight="false" outlineLevel="0" collapsed="false">
      <c r="A76" s="15"/>
      <c r="B76" s="3"/>
      <c r="C76" s="16"/>
      <c r="D76" s="16"/>
      <c r="E76" s="12"/>
      <c r="F76" s="17"/>
      <c r="G76" s="17"/>
      <c r="H76" s="12"/>
      <c r="I76" s="17"/>
      <c r="J76" s="17"/>
      <c r="K76" s="17"/>
      <c r="L76" s="17"/>
      <c r="M76" s="17"/>
      <c r="N76" s="17"/>
      <c r="O76" s="17"/>
      <c r="P76" s="17"/>
      <c r="Q76" s="17"/>
      <c r="R76" s="17"/>
      <c r="S76" s="17"/>
      <c r="T76" s="17"/>
      <c r="U76" s="17"/>
      <c r="V76" s="17"/>
      <c r="W76" s="17"/>
      <c r="X76" s="17"/>
      <c r="Y76" s="17"/>
      <c r="Z76" s="17"/>
      <c r="AA76" s="17"/>
      <c r="AB76" s="9" t="str">
        <f aca="false">IF(J76="","",IF(S76="",J76,IF(J76=S76,J76,"DISCUSS")))</f>
        <v/>
      </c>
      <c r="AC76" s="9" t="str">
        <f aca="false">IF(K76="","",IF(T76="",K76,IF(K76=T76,K76,"DISCUSS")))</f>
        <v/>
      </c>
      <c r="AD76" s="9" t="str">
        <f aca="false">IF(L76="","",IF(U76="",L76,IF(L76=U76,L76,"DISCUSS")))</f>
        <v/>
      </c>
      <c r="AE76" s="9" t="str">
        <f aca="false">IF(M76="","",IF(V76="",M76,IF(M76=V76,M76,"DISCUSS")))</f>
        <v/>
      </c>
      <c r="AF76" s="9" t="str">
        <f aca="false">IF(N76="","",IF(W76="",N76,IF(N76=W76,N76,"DISCUSS")))</f>
        <v/>
      </c>
      <c r="AG76" s="9" t="str">
        <f aca="false">IF(O76="","",IF(X76="",O76,IF(O76=X76,O76,"DISCUSS")))</f>
        <v/>
      </c>
      <c r="AH76" s="9" t="str">
        <f aca="false">IF(P76="","",IF(Y76="",P76,IF(P76=Y76,P76,"DISCUSS")))</f>
        <v/>
      </c>
      <c r="AI76" s="9" t="str">
        <f aca="false">IF(Q76="","",IF(Z76="",Q76,IF(Q76=Z76,Q76,"DISCUSS")))</f>
        <v/>
      </c>
      <c r="AJ76" s="9" t="str">
        <f aca="false">IF(R76="","",IF(AA76="",R76,IF(R76=AA76,R76,"DISCUSS")))</f>
        <v/>
      </c>
      <c r="AK76" s="18" t="str">
        <f aca="false">IFERROR(AVERAGE(AB76:AJ76),"")</f>
        <v/>
      </c>
      <c r="AL76" s="9" t="n">
        <f aca="false">COUNT(AB76:AJ76)</f>
        <v>0</v>
      </c>
      <c r="AM76" s="9" t="n">
        <f aca="false">COUNTIF(AB76:AJ76,"DISCUSS")</f>
        <v>0</v>
      </c>
      <c r="AN76" s="9" t="str">
        <f aca="false">IF(AL76=0,"",IF(AM76&gt;0,"Resolve DISCUSS",IF(AL76&lt;Tiers!$B$6,"Unrated",IF(AK76&gt;=Tiers!$B$4,"High",IF(AK76&gt;=Tiers!$B$5,"Medium","Low")))))</f>
        <v/>
      </c>
      <c r="AO76" s="9" t="str">
        <f aca="false">IF(OR(AN76="",AN76="Unrated",AN76="Resolve DISCUSS"),"",COUNTIFS($AN$6:$AN$105,AN76,$AK$6:$AK$105,"&gt;"&amp;AK76)+1)</f>
        <v/>
      </c>
      <c r="AP76" s="12"/>
    </row>
    <row r="77" customFormat="false" ht="15" hidden="false" customHeight="false" outlineLevel="0" collapsed="false">
      <c r="A77" s="15"/>
      <c r="B77" s="3"/>
      <c r="C77" s="16"/>
      <c r="D77" s="16"/>
      <c r="E77" s="12"/>
      <c r="F77" s="17"/>
      <c r="G77" s="17"/>
      <c r="H77" s="12"/>
      <c r="I77" s="17"/>
      <c r="J77" s="17"/>
      <c r="K77" s="17"/>
      <c r="L77" s="17"/>
      <c r="M77" s="17"/>
      <c r="N77" s="17"/>
      <c r="O77" s="17"/>
      <c r="P77" s="17"/>
      <c r="Q77" s="17"/>
      <c r="R77" s="17"/>
      <c r="S77" s="17"/>
      <c r="T77" s="17"/>
      <c r="U77" s="17"/>
      <c r="V77" s="17"/>
      <c r="W77" s="17"/>
      <c r="X77" s="17"/>
      <c r="Y77" s="17"/>
      <c r="Z77" s="17"/>
      <c r="AA77" s="17"/>
      <c r="AB77" s="9" t="str">
        <f aca="false">IF(J77="","",IF(S77="",J77,IF(J77=S77,J77,"DISCUSS")))</f>
        <v/>
      </c>
      <c r="AC77" s="9" t="str">
        <f aca="false">IF(K77="","",IF(T77="",K77,IF(K77=T77,K77,"DISCUSS")))</f>
        <v/>
      </c>
      <c r="AD77" s="9" t="str">
        <f aca="false">IF(L77="","",IF(U77="",L77,IF(L77=U77,L77,"DISCUSS")))</f>
        <v/>
      </c>
      <c r="AE77" s="9" t="str">
        <f aca="false">IF(M77="","",IF(V77="",M77,IF(M77=V77,M77,"DISCUSS")))</f>
        <v/>
      </c>
      <c r="AF77" s="9" t="str">
        <f aca="false">IF(N77="","",IF(W77="",N77,IF(N77=W77,N77,"DISCUSS")))</f>
        <v/>
      </c>
      <c r="AG77" s="9" t="str">
        <f aca="false">IF(O77="","",IF(X77="",O77,IF(O77=X77,O77,"DISCUSS")))</f>
        <v/>
      </c>
      <c r="AH77" s="9" t="str">
        <f aca="false">IF(P77="","",IF(Y77="",P77,IF(P77=Y77,P77,"DISCUSS")))</f>
        <v/>
      </c>
      <c r="AI77" s="9" t="str">
        <f aca="false">IF(Q77="","",IF(Z77="",Q77,IF(Q77=Z77,Q77,"DISCUSS")))</f>
        <v/>
      </c>
      <c r="AJ77" s="9" t="str">
        <f aca="false">IF(R77="","",IF(AA77="",R77,IF(R77=AA77,R77,"DISCUSS")))</f>
        <v/>
      </c>
      <c r="AK77" s="18" t="str">
        <f aca="false">IFERROR(AVERAGE(AB77:AJ77),"")</f>
        <v/>
      </c>
      <c r="AL77" s="9" t="n">
        <f aca="false">COUNT(AB77:AJ77)</f>
        <v>0</v>
      </c>
      <c r="AM77" s="9" t="n">
        <f aca="false">COUNTIF(AB77:AJ77,"DISCUSS")</f>
        <v>0</v>
      </c>
      <c r="AN77" s="9" t="str">
        <f aca="false">IF(AL77=0,"",IF(AM77&gt;0,"Resolve DISCUSS",IF(AL77&lt;Tiers!$B$6,"Unrated",IF(AK77&gt;=Tiers!$B$4,"High",IF(AK77&gt;=Tiers!$B$5,"Medium","Low")))))</f>
        <v/>
      </c>
      <c r="AO77" s="9" t="str">
        <f aca="false">IF(OR(AN77="",AN77="Unrated",AN77="Resolve DISCUSS"),"",COUNTIFS($AN$6:$AN$105,AN77,$AK$6:$AK$105,"&gt;"&amp;AK77)+1)</f>
        <v/>
      </c>
      <c r="AP77" s="12"/>
    </row>
    <row r="78" customFormat="false" ht="15" hidden="false" customHeight="false" outlineLevel="0" collapsed="false">
      <c r="A78" s="15"/>
      <c r="B78" s="3"/>
      <c r="C78" s="16"/>
      <c r="D78" s="16"/>
      <c r="E78" s="12"/>
      <c r="F78" s="17"/>
      <c r="G78" s="17"/>
      <c r="H78" s="12"/>
      <c r="I78" s="17"/>
      <c r="J78" s="17"/>
      <c r="K78" s="17"/>
      <c r="L78" s="17"/>
      <c r="M78" s="17"/>
      <c r="N78" s="17"/>
      <c r="O78" s="17"/>
      <c r="P78" s="17"/>
      <c r="Q78" s="17"/>
      <c r="R78" s="17"/>
      <c r="S78" s="17"/>
      <c r="T78" s="17"/>
      <c r="U78" s="17"/>
      <c r="V78" s="17"/>
      <c r="W78" s="17"/>
      <c r="X78" s="17"/>
      <c r="Y78" s="17"/>
      <c r="Z78" s="17"/>
      <c r="AA78" s="17"/>
      <c r="AB78" s="9" t="str">
        <f aca="false">IF(J78="","",IF(S78="",J78,IF(J78=S78,J78,"DISCUSS")))</f>
        <v/>
      </c>
      <c r="AC78" s="9" t="str">
        <f aca="false">IF(K78="","",IF(T78="",K78,IF(K78=T78,K78,"DISCUSS")))</f>
        <v/>
      </c>
      <c r="AD78" s="9" t="str">
        <f aca="false">IF(L78="","",IF(U78="",L78,IF(L78=U78,L78,"DISCUSS")))</f>
        <v/>
      </c>
      <c r="AE78" s="9" t="str">
        <f aca="false">IF(M78="","",IF(V78="",M78,IF(M78=V78,M78,"DISCUSS")))</f>
        <v/>
      </c>
      <c r="AF78" s="9" t="str">
        <f aca="false">IF(N78="","",IF(W78="",N78,IF(N78=W78,N78,"DISCUSS")))</f>
        <v/>
      </c>
      <c r="AG78" s="9" t="str">
        <f aca="false">IF(O78="","",IF(X78="",O78,IF(O78=X78,O78,"DISCUSS")))</f>
        <v/>
      </c>
      <c r="AH78" s="9" t="str">
        <f aca="false">IF(P78="","",IF(Y78="",P78,IF(P78=Y78,P78,"DISCUSS")))</f>
        <v/>
      </c>
      <c r="AI78" s="9" t="str">
        <f aca="false">IF(Q78="","",IF(Z78="",Q78,IF(Q78=Z78,Q78,"DISCUSS")))</f>
        <v/>
      </c>
      <c r="AJ78" s="9" t="str">
        <f aca="false">IF(R78="","",IF(AA78="",R78,IF(R78=AA78,R78,"DISCUSS")))</f>
        <v/>
      </c>
      <c r="AK78" s="18" t="str">
        <f aca="false">IFERROR(AVERAGE(AB78:AJ78),"")</f>
        <v/>
      </c>
      <c r="AL78" s="9" t="n">
        <f aca="false">COUNT(AB78:AJ78)</f>
        <v>0</v>
      </c>
      <c r="AM78" s="9" t="n">
        <f aca="false">COUNTIF(AB78:AJ78,"DISCUSS")</f>
        <v>0</v>
      </c>
      <c r="AN78" s="9" t="str">
        <f aca="false">IF(AL78=0,"",IF(AM78&gt;0,"Resolve DISCUSS",IF(AL78&lt;Tiers!$B$6,"Unrated",IF(AK78&gt;=Tiers!$B$4,"High",IF(AK78&gt;=Tiers!$B$5,"Medium","Low")))))</f>
        <v/>
      </c>
      <c r="AO78" s="9" t="str">
        <f aca="false">IF(OR(AN78="",AN78="Unrated",AN78="Resolve DISCUSS"),"",COUNTIFS($AN$6:$AN$105,AN78,$AK$6:$AK$105,"&gt;"&amp;AK78)+1)</f>
        <v/>
      </c>
      <c r="AP78" s="12"/>
    </row>
    <row r="79" customFormat="false" ht="15" hidden="false" customHeight="false" outlineLevel="0" collapsed="false">
      <c r="A79" s="15"/>
      <c r="B79" s="3"/>
      <c r="C79" s="16"/>
      <c r="D79" s="16"/>
      <c r="E79" s="12"/>
      <c r="F79" s="17"/>
      <c r="G79" s="17"/>
      <c r="H79" s="12"/>
      <c r="I79" s="17"/>
      <c r="J79" s="17"/>
      <c r="K79" s="17"/>
      <c r="L79" s="17"/>
      <c r="M79" s="17"/>
      <c r="N79" s="17"/>
      <c r="O79" s="17"/>
      <c r="P79" s="17"/>
      <c r="Q79" s="17"/>
      <c r="R79" s="17"/>
      <c r="S79" s="17"/>
      <c r="T79" s="17"/>
      <c r="U79" s="17"/>
      <c r="V79" s="17"/>
      <c r="W79" s="17"/>
      <c r="X79" s="17"/>
      <c r="Y79" s="17"/>
      <c r="Z79" s="17"/>
      <c r="AA79" s="17"/>
      <c r="AB79" s="9" t="str">
        <f aca="false">IF(J79="","",IF(S79="",J79,IF(J79=S79,J79,"DISCUSS")))</f>
        <v/>
      </c>
      <c r="AC79" s="9" t="str">
        <f aca="false">IF(K79="","",IF(T79="",K79,IF(K79=T79,K79,"DISCUSS")))</f>
        <v/>
      </c>
      <c r="AD79" s="9" t="str">
        <f aca="false">IF(L79="","",IF(U79="",L79,IF(L79=U79,L79,"DISCUSS")))</f>
        <v/>
      </c>
      <c r="AE79" s="9" t="str">
        <f aca="false">IF(M79="","",IF(V79="",M79,IF(M79=V79,M79,"DISCUSS")))</f>
        <v/>
      </c>
      <c r="AF79" s="9" t="str">
        <f aca="false">IF(N79="","",IF(W79="",N79,IF(N79=W79,N79,"DISCUSS")))</f>
        <v/>
      </c>
      <c r="AG79" s="9" t="str">
        <f aca="false">IF(O79="","",IF(X79="",O79,IF(O79=X79,O79,"DISCUSS")))</f>
        <v/>
      </c>
      <c r="AH79" s="9" t="str">
        <f aca="false">IF(P79="","",IF(Y79="",P79,IF(P79=Y79,P79,"DISCUSS")))</f>
        <v/>
      </c>
      <c r="AI79" s="9" t="str">
        <f aca="false">IF(Q79="","",IF(Z79="",Q79,IF(Q79=Z79,Q79,"DISCUSS")))</f>
        <v/>
      </c>
      <c r="AJ79" s="9" t="str">
        <f aca="false">IF(R79="","",IF(AA79="",R79,IF(R79=AA79,R79,"DISCUSS")))</f>
        <v/>
      </c>
      <c r="AK79" s="18" t="str">
        <f aca="false">IFERROR(AVERAGE(AB79:AJ79),"")</f>
        <v/>
      </c>
      <c r="AL79" s="9" t="n">
        <f aca="false">COUNT(AB79:AJ79)</f>
        <v>0</v>
      </c>
      <c r="AM79" s="9" t="n">
        <f aca="false">COUNTIF(AB79:AJ79,"DISCUSS")</f>
        <v>0</v>
      </c>
      <c r="AN79" s="9" t="str">
        <f aca="false">IF(AL79=0,"",IF(AM79&gt;0,"Resolve DISCUSS",IF(AL79&lt;Tiers!$B$6,"Unrated",IF(AK79&gt;=Tiers!$B$4,"High",IF(AK79&gt;=Tiers!$B$5,"Medium","Low")))))</f>
        <v/>
      </c>
      <c r="AO79" s="9" t="str">
        <f aca="false">IF(OR(AN79="",AN79="Unrated",AN79="Resolve DISCUSS"),"",COUNTIFS($AN$6:$AN$105,AN79,$AK$6:$AK$105,"&gt;"&amp;AK79)+1)</f>
        <v/>
      </c>
      <c r="AP79" s="12"/>
    </row>
    <row r="80" customFormat="false" ht="15" hidden="false" customHeight="false" outlineLevel="0" collapsed="false">
      <c r="A80" s="15"/>
      <c r="B80" s="3"/>
      <c r="C80" s="16"/>
      <c r="D80" s="16"/>
      <c r="E80" s="12"/>
      <c r="F80" s="17"/>
      <c r="G80" s="17"/>
      <c r="H80" s="12"/>
      <c r="I80" s="17"/>
      <c r="J80" s="17"/>
      <c r="K80" s="17"/>
      <c r="L80" s="17"/>
      <c r="M80" s="17"/>
      <c r="N80" s="17"/>
      <c r="O80" s="17"/>
      <c r="P80" s="17"/>
      <c r="Q80" s="17"/>
      <c r="R80" s="17"/>
      <c r="S80" s="17"/>
      <c r="T80" s="17"/>
      <c r="U80" s="17"/>
      <c r="V80" s="17"/>
      <c r="W80" s="17"/>
      <c r="X80" s="17"/>
      <c r="Y80" s="17"/>
      <c r="Z80" s="17"/>
      <c r="AA80" s="17"/>
      <c r="AB80" s="9" t="str">
        <f aca="false">IF(J80="","",IF(S80="",J80,IF(J80=S80,J80,"DISCUSS")))</f>
        <v/>
      </c>
      <c r="AC80" s="9" t="str">
        <f aca="false">IF(K80="","",IF(T80="",K80,IF(K80=T80,K80,"DISCUSS")))</f>
        <v/>
      </c>
      <c r="AD80" s="9" t="str">
        <f aca="false">IF(L80="","",IF(U80="",L80,IF(L80=U80,L80,"DISCUSS")))</f>
        <v/>
      </c>
      <c r="AE80" s="9" t="str">
        <f aca="false">IF(M80="","",IF(V80="",M80,IF(M80=V80,M80,"DISCUSS")))</f>
        <v/>
      </c>
      <c r="AF80" s="9" t="str">
        <f aca="false">IF(N80="","",IF(W80="",N80,IF(N80=W80,N80,"DISCUSS")))</f>
        <v/>
      </c>
      <c r="AG80" s="9" t="str">
        <f aca="false">IF(O80="","",IF(X80="",O80,IF(O80=X80,O80,"DISCUSS")))</f>
        <v/>
      </c>
      <c r="AH80" s="9" t="str">
        <f aca="false">IF(P80="","",IF(Y80="",P80,IF(P80=Y80,P80,"DISCUSS")))</f>
        <v/>
      </c>
      <c r="AI80" s="9" t="str">
        <f aca="false">IF(Q80="","",IF(Z80="",Q80,IF(Q80=Z80,Q80,"DISCUSS")))</f>
        <v/>
      </c>
      <c r="AJ80" s="9" t="str">
        <f aca="false">IF(R80="","",IF(AA80="",R80,IF(R80=AA80,R80,"DISCUSS")))</f>
        <v/>
      </c>
      <c r="AK80" s="18" t="str">
        <f aca="false">IFERROR(AVERAGE(AB80:AJ80),"")</f>
        <v/>
      </c>
      <c r="AL80" s="9" t="n">
        <f aca="false">COUNT(AB80:AJ80)</f>
        <v>0</v>
      </c>
      <c r="AM80" s="9" t="n">
        <f aca="false">COUNTIF(AB80:AJ80,"DISCUSS")</f>
        <v>0</v>
      </c>
      <c r="AN80" s="9" t="str">
        <f aca="false">IF(AL80=0,"",IF(AM80&gt;0,"Resolve DISCUSS",IF(AL80&lt;Tiers!$B$6,"Unrated",IF(AK80&gt;=Tiers!$B$4,"High",IF(AK80&gt;=Tiers!$B$5,"Medium","Low")))))</f>
        <v/>
      </c>
      <c r="AO80" s="9" t="str">
        <f aca="false">IF(OR(AN80="",AN80="Unrated",AN80="Resolve DISCUSS"),"",COUNTIFS($AN$6:$AN$105,AN80,$AK$6:$AK$105,"&gt;"&amp;AK80)+1)</f>
        <v/>
      </c>
      <c r="AP80" s="12"/>
    </row>
    <row r="81" customFormat="false" ht="15" hidden="false" customHeight="false" outlineLevel="0" collapsed="false">
      <c r="A81" s="15"/>
      <c r="B81" s="3"/>
      <c r="C81" s="16"/>
      <c r="D81" s="16"/>
      <c r="E81" s="12"/>
      <c r="F81" s="17"/>
      <c r="G81" s="17"/>
      <c r="H81" s="12"/>
      <c r="I81" s="17"/>
      <c r="J81" s="17"/>
      <c r="K81" s="17"/>
      <c r="L81" s="17"/>
      <c r="M81" s="17"/>
      <c r="N81" s="17"/>
      <c r="O81" s="17"/>
      <c r="P81" s="17"/>
      <c r="Q81" s="17"/>
      <c r="R81" s="17"/>
      <c r="S81" s="17"/>
      <c r="T81" s="17"/>
      <c r="U81" s="17"/>
      <c r="V81" s="17"/>
      <c r="W81" s="17"/>
      <c r="X81" s="17"/>
      <c r="Y81" s="17"/>
      <c r="Z81" s="17"/>
      <c r="AA81" s="17"/>
      <c r="AB81" s="9" t="str">
        <f aca="false">IF(J81="","",IF(S81="",J81,IF(J81=S81,J81,"DISCUSS")))</f>
        <v/>
      </c>
      <c r="AC81" s="9" t="str">
        <f aca="false">IF(K81="","",IF(T81="",K81,IF(K81=T81,K81,"DISCUSS")))</f>
        <v/>
      </c>
      <c r="AD81" s="9" t="str">
        <f aca="false">IF(L81="","",IF(U81="",L81,IF(L81=U81,L81,"DISCUSS")))</f>
        <v/>
      </c>
      <c r="AE81" s="9" t="str">
        <f aca="false">IF(M81="","",IF(V81="",M81,IF(M81=V81,M81,"DISCUSS")))</f>
        <v/>
      </c>
      <c r="AF81" s="9" t="str">
        <f aca="false">IF(N81="","",IF(W81="",N81,IF(N81=W81,N81,"DISCUSS")))</f>
        <v/>
      </c>
      <c r="AG81" s="9" t="str">
        <f aca="false">IF(O81="","",IF(X81="",O81,IF(O81=X81,O81,"DISCUSS")))</f>
        <v/>
      </c>
      <c r="AH81" s="9" t="str">
        <f aca="false">IF(P81="","",IF(Y81="",P81,IF(P81=Y81,P81,"DISCUSS")))</f>
        <v/>
      </c>
      <c r="AI81" s="9" t="str">
        <f aca="false">IF(Q81="","",IF(Z81="",Q81,IF(Q81=Z81,Q81,"DISCUSS")))</f>
        <v/>
      </c>
      <c r="AJ81" s="9" t="str">
        <f aca="false">IF(R81="","",IF(AA81="",R81,IF(R81=AA81,R81,"DISCUSS")))</f>
        <v/>
      </c>
      <c r="AK81" s="18" t="str">
        <f aca="false">IFERROR(AVERAGE(AB81:AJ81),"")</f>
        <v/>
      </c>
      <c r="AL81" s="9" t="n">
        <f aca="false">COUNT(AB81:AJ81)</f>
        <v>0</v>
      </c>
      <c r="AM81" s="9" t="n">
        <f aca="false">COUNTIF(AB81:AJ81,"DISCUSS")</f>
        <v>0</v>
      </c>
      <c r="AN81" s="9" t="str">
        <f aca="false">IF(AL81=0,"",IF(AM81&gt;0,"Resolve DISCUSS",IF(AL81&lt;Tiers!$B$6,"Unrated",IF(AK81&gt;=Tiers!$B$4,"High",IF(AK81&gt;=Tiers!$B$5,"Medium","Low")))))</f>
        <v/>
      </c>
      <c r="AO81" s="9" t="str">
        <f aca="false">IF(OR(AN81="",AN81="Unrated",AN81="Resolve DISCUSS"),"",COUNTIFS($AN$6:$AN$105,AN81,$AK$6:$AK$105,"&gt;"&amp;AK81)+1)</f>
        <v/>
      </c>
      <c r="AP81" s="12"/>
    </row>
    <row r="82" customFormat="false" ht="15" hidden="false" customHeight="false" outlineLevel="0" collapsed="false">
      <c r="A82" s="15"/>
      <c r="B82" s="3"/>
      <c r="C82" s="16"/>
      <c r="D82" s="16"/>
      <c r="E82" s="12"/>
      <c r="F82" s="17"/>
      <c r="G82" s="17"/>
      <c r="H82" s="12"/>
      <c r="I82" s="17"/>
      <c r="J82" s="17"/>
      <c r="K82" s="17"/>
      <c r="L82" s="17"/>
      <c r="M82" s="17"/>
      <c r="N82" s="17"/>
      <c r="O82" s="17"/>
      <c r="P82" s="17"/>
      <c r="Q82" s="17"/>
      <c r="R82" s="17"/>
      <c r="S82" s="17"/>
      <c r="T82" s="17"/>
      <c r="U82" s="17"/>
      <c r="V82" s="17"/>
      <c r="W82" s="17"/>
      <c r="X82" s="17"/>
      <c r="Y82" s="17"/>
      <c r="Z82" s="17"/>
      <c r="AA82" s="17"/>
      <c r="AB82" s="9" t="str">
        <f aca="false">IF(J82="","",IF(S82="",J82,IF(J82=S82,J82,"DISCUSS")))</f>
        <v/>
      </c>
      <c r="AC82" s="9" t="str">
        <f aca="false">IF(K82="","",IF(T82="",K82,IF(K82=T82,K82,"DISCUSS")))</f>
        <v/>
      </c>
      <c r="AD82" s="9" t="str">
        <f aca="false">IF(L82="","",IF(U82="",L82,IF(L82=U82,L82,"DISCUSS")))</f>
        <v/>
      </c>
      <c r="AE82" s="9" t="str">
        <f aca="false">IF(M82="","",IF(V82="",M82,IF(M82=V82,M82,"DISCUSS")))</f>
        <v/>
      </c>
      <c r="AF82" s="9" t="str">
        <f aca="false">IF(N82="","",IF(W82="",N82,IF(N82=W82,N82,"DISCUSS")))</f>
        <v/>
      </c>
      <c r="AG82" s="9" t="str">
        <f aca="false">IF(O82="","",IF(X82="",O82,IF(O82=X82,O82,"DISCUSS")))</f>
        <v/>
      </c>
      <c r="AH82" s="9" t="str">
        <f aca="false">IF(P82="","",IF(Y82="",P82,IF(P82=Y82,P82,"DISCUSS")))</f>
        <v/>
      </c>
      <c r="AI82" s="9" t="str">
        <f aca="false">IF(Q82="","",IF(Z82="",Q82,IF(Q82=Z82,Q82,"DISCUSS")))</f>
        <v/>
      </c>
      <c r="AJ82" s="9" t="str">
        <f aca="false">IF(R82="","",IF(AA82="",R82,IF(R82=AA82,R82,"DISCUSS")))</f>
        <v/>
      </c>
      <c r="AK82" s="18" t="str">
        <f aca="false">IFERROR(AVERAGE(AB82:AJ82),"")</f>
        <v/>
      </c>
      <c r="AL82" s="9" t="n">
        <f aca="false">COUNT(AB82:AJ82)</f>
        <v>0</v>
      </c>
      <c r="AM82" s="9" t="n">
        <f aca="false">COUNTIF(AB82:AJ82,"DISCUSS")</f>
        <v>0</v>
      </c>
      <c r="AN82" s="9" t="str">
        <f aca="false">IF(AL82=0,"",IF(AM82&gt;0,"Resolve DISCUSS",IF(AL82&lt;Tiers!$B$6,"Unrated",IF(AK82&gt;=Tiers!$B$4,"High",IF(AK82&gt;=Tiers!$B$5,"Medium","Low")))))</f>
        <v/>
      </c>
      <c r="AO82" s="9" t="str">
        <f aca="false">IF(OR(AN82="",AN82="Unrated",AN82="Resolve DISCUSS"),"",COUNTIFS($AN$6:$AN$105,AN82,$AK$6:$AK$105,"&gt;"&amp;AK82)+1)</f>
        <v/>
      </c>
      <c r="AP82" s="12"/>
    </row>
    <row r="83" customFormat="false" ht="15" hidden="false" customHeight="false" outlineLevel="0" collapsed="false">
      <c r="A83" s="15"/>
      <c r="B83" s="3"/>
      <c r="C83" s="16"/>
      <c r="D83" s="16"/>
      <c r="E83" s="12"/>
      <c r="F83" s="17"/>
      <c r="G83" s="17"/>
      <c r="H83" s="12"/>
      <c r="I83" s="17"/>
      <c r="J83" s="17"/>
      <c r="K83" s="17"/>
      <c r="L83" s="17"/>
      <c r="M83" s="17"/>
      <c r="N83" s="17"/>
      <c r="O83" s="17"/>
      <c r="P83" s="17"/>
      <c r="Q83" s="17"/>
      <c r="R83" s="17"/>
      <c r="S83" s="17"/>
      <c r="T83" s="17"/>
      <c r="U83" s="17"/>
      <c r="V83" s="17"/>
      <c r="W83" s="17"/>
      <c r="X83" s="17"/>
      <c r="Y83" s="17"/>
      <c r="Z83" s="17"/>
      <c r="AA83" s="17"/>
      <c r="AB83" s="9" t="str">
        <f aca="false">IF(J83="","",IF(S83="",J83,IF(J83=S83,J83,"DISCUSS")))</f>
        <v/>
      </c>
      <c r="AC83" s="9" t="str">
        <f aca="false">IF(K83="","",IF(T83="",K83,IF(K83=T83,K83,"DISCUSS")))</f>
        <v/>
      </c>
      <c r="AD83" s="9" t="str">
        <f aca="false">IF(L83="","",IF(U83="",L83,IF(L83=U83,L83,"DISCUSS")))</f>
        <v/>
      </c>
      <c r="AE83" s="9" t="str">
        <f aca="false">IF(M83="","",IF(V83="",M83,IF(M83=V83,M83,"DISCUSS")))</f>
        <v/>
      </c>
      <c r="AF83" s="9" t="str">
        <f aca="false">IF(N83="","",IF(W83="",N83,IF(N83=W83,N83,"DISCUSS")))</f>
        <v/>
      </c>
      <c r="AG83" s="9" t="str">
        <f aca="false">IF(O83="","",IF(X83="",O83,IF(O83=X83,O83,"DISCUSS")))</f>
        <v/>
      </c>
      <c r="AH83" s="9" t="str">
        <f aca="false">IF(P83="","",IF(Y83="",P83,IF(P83=Y83,P83,"DISCUSS")))</f>
        <v/>
      </c>
      <c r="AI83" s="9" t="str">
        <f aca="false">IF(Q83="","",IF(Z83="",Q83,IF(Q83=Z83,Q83,"DISCUSS")))</f>
        <v/>
      </c>
      <c r="AJ83" s="9" t="str">
        <f aca="false">IF(R83="","",IF(AA83="",R83,IF(R83=AA83,R83,"DISCUSS")))</f>
        <v/>
      </c>
      <c r="AK83" s="18" t="str">
        <f aca="false">IFERROR(AVERAGE(AB83:AJ83),"")</f>
        <v/>
      </c>
      <c r="AL83" s="9" t="n">
        <f aca="false">COUNT(AB83:AJ83)</f>
        <v>0</v>
      </c>
      <c r="AM83" s="9" t="n">
        <f aca="false">COUNTIF(AB83:AJ83,"DISCUSS")</f>
        <v>0</v>
      </c>
      <c r="AN83" s="9" t="str">
        <f aca="false">IF(AL83=0,"",IF(AM83&gt;0,"Resolve DISCUSS",IF(AL83&lt;Tiers!$B$6,"Unrated",IF(AK83&gt;=Tiers!$B$4,"High",IF(AK83&gt;=Tiers!$B$5,"Medium","Low")))))</f>
        <v/>
      </c>
      <c r="AO83" s="9" t="str">
        <f aca="false">IF(OR(AN83="",AN83="Unrated",AN83="Resolve DISCUSS"),"",COUNTIFS($AN$6:$AN$105,AN83,$AK$6:$AK$105,"&gt;"&amp;AK83)+1)</f>
        <v/>
      </c>
      <c r="AP83" s="12"/>
    </row>
    <row r="84" customFormat="false" ht="15" hidden="false" customHeight="false" outlineLevel="0" collapsed="false">
      <c r="A84" s="15"/>
      <c r="B84" s="3"/>
      <c r="C84" s="16"/>
      <c r="D84" s="16"/>
      <c r="E84" s="12"/>
      <c r="F84" s="17"/>
      <c r="G84" s="17"/>
      <c r="H84" s="12"/>
      <c r="I84" s="17"/>
      <c r="J84" s="17"/>
      <c r="K84" s="17"/>
      <c r="L84" s="17"/>
      <c r="M84" s="17"/>
      <c r="N84" s="17"/>
      <c r="O84" s="17"/>
      <c r="P84" s="17"/>
      <c r="Q84" s="17"/>
      <c r="R84" s="17"/>
      <c r="S84" s="17"/>
      <c r="T84" s="17"/>
      <c r="U84" s="17"/>
      <c r="V84" s="17"/>
      <c r="W84" s="17"/>
      <c r="X84" s="17"/>
      <c r="Y84" s="17"/>
      <c r="Z84" s="17"/>
      <c r="AA84" s="17"/>
      <c r="AB84" s="9" t="str">
        <f aca="false">IF(J84="","",IF(S84="",J84,IF(J84=S84,J84,"DISCUSS")))</f>
        <v/>
      </c>
      <c r="AC84" s="9" t="str">
        <f aca="false">IF(K84="","",IF(T84="",K84,IF(K84=T84,K84,"DISCUSS")))</f>
        <v/>
      </c>
      <c r="AD84" s="9" t="str">
        <f aca="false">IF(L84="","",IF(U84="",L84,IF(L84=U84,L84,"DISCUSS")))</f>
        <v/>
      </c>
      <c r="AE84" s="9" t="str">
        <f aca="false">IF(M84="","",IF(V84="",M84,IF(M84=V84,M84,"DISCUSS")))</f>
        <v/>
      </c>
      <c r="AF84" s="9" t="str">
        <f aca="false">IF(N84="","",IF(W84="",N84,IF(N84=W84,N84,"DISCUSS")))</f>
        <v/>
      </c>
      <c r="AG84" s="9" t="str">
        <f aca="false">IF(O84="","",IF(X84="",O84,IF(O84=X84,O84,"DISCUSS")))</f>
        <v/>
      </c>
      <c r="AH84" s="9" t="str">
        <f aca="false">IF(P84="","",IF(Y84="",P84,IF(P84=Y84,P84,"DISCUSS")))</f>
        <v/>
      </c>
      <c r="AI84" s="9" t="str">
        <f aca="false">IF(Q84="","",IF(Z84="",Q84,IF(Q84=Z84,Q84,"DISCUSS")))</f>
        <v/>
      </c>
      <c r="AJ84" s="9" t="str">
        <f aca="false">IF(R84="","",IF(AA84="",R84,IF(R84=AA84,R84,"DISCUSS")))</f>
        <v/>
      </c>
      <c r="AK84" s="18" t="str">
        <f aca="false">IFERROR(AVERAGE(AB84:AJ84),"")</f>
        <v/>
      </c>
      <c r="AL84" s="9" t="n">
        <f aca="false">COUNT(AB84:AJ84)</f>
        <v>0</v>
      </c>
      <c r="AM84" s="9" t="n">
        <f aca="false">COUNTIF(AB84:AJ84,"DISCUSS")</f>
        <v>0</v>
      </c>
      <c r="AN84" s="9" t="str">
        <f aca="false">IF(AL84=0,"",IF(AM84&gt;0,"Resolve DISCUSS",IF(AL84&lt;Tiers!$B$6,"Unrated",IF(AK84&gt;=Tiers!$B$4,"High",IF(AK84&gt;=Tiers!$B$5,"Medium","Low")))))</f>
        <v/>
      </c>
      <c r="AO84" s="9" t="str">
        <f aca="false">IF(OR(AN84="",AN84="Unrated",AN84="Resolve DISCUSS"),"",COUNTIFS($AN$6:$AN$105,AN84,$AK$6:$AK$105,"&gt;"&amp;AK84)+1)</f>
        <v/>
      </c>
      <c r="AP84" s="12"/>
    </row>
    <row r="85" customFormat="false" ht="15" hidden="false" customHeight="false" outlineLevel="0" collapsed="false">
      <c r="A85" s="15"/>
      <c r="B85" s="3"/>
      <c r="C85" s="16"/>
      <c r="D85" s="16"/>
      <c r="E85" s="12"/>
      <c r="F85" s="17"/>
      <c r="G85" s="17"/>
      <c r="H85" s="12"/>
      <c r="I85" s="17"/>
      <c r="J85" s="17"/>
      <c r="K85" s="17"/>
      <c r="L85" s="17"/>
      <c r="M85" s="17"/>
      <c r="N85" s="17"/>
      <c r="O85" s="17"/>
      <c r="P85" s="17"/>
      <c r="Q85" s="17"/>
      <c r="R85" s="17"/>
      <c r="S85" s="17"/>
      <c r="T85" s="17"/>
      <c r="U85" s="17"/>
      <c r="V85" s="17"/>
      <c r="W85" s="17"/>
      <c r="X85" s="17"/>
      <c r="Y85" s="17"/>
      <c r="Z85" s="17"/>
      <c r="AA85" s="17"/>
      <c r="AB85" s="9" t="str">
        <f aca="false">IF(J85="","",IF(S85="",J85,IF(J85=S85,J85,"DISCUSS")))</f>
        <v/>
      </c>
      <c r="AC85" s="9" t="str">
        <f aca="false">IF(K85="","",IF(T85="",K85,IF(K85=T85,K85,"DISCUSS")))</f>
        <v/>
      </c>
      <c r="AD85" s="9" t="str">
        <f aca="false">IF(L85="","",IF(U85="",L85,IF(L85=U85,L85,"DISCUSS")))</f>
        <v/>
      </c>
      <c r="AE85" s="9" t="str">
        <f aca="false">IF(M85="","",IF(V85="",M85,IF(M85=V85,M85,"DISCUSS")))</f>
        <v/>
      </c>
      <c r="AF85" s="9" t="str">
        <f aca="false">IF(N85="","",IF(W85="",N85,IF(N85=W85,N85,"DISCUSS")))</f>
        <v/>
      </c>
      <c r="AG85" s="9" t="str">
        <f aca="false">IF(O85="","",IF(X85="",O85,IF(O85=X85,O85,"DISCUSS")))</f>
        <v/>
      </c>
      <c r="AH85" s="9" t="str">
        <f aca="false">IF(P85="","",IF(Y85="",P85,IF(P85=Y85,P85,"DISCUSS")))</f>
        <v/>
      </c>
      <c r="AI85" s="9" t="str">
        <f aca="false">IF(Q85="","",IF(Z85="",Q85,IF(Q85=Z85,Q85,"DISCUSS")))</f>
        <v/>
      </c>
      <c r="AJ85" s="9" t="str">
        <f aca="false">IF(R85="","",IF(AA85="",R85,IF(R85=AA85,R85,"DISCUSS")))</f>
        <v/>
      </c>
      <c r="AK85" s="18" t="str">
        <f aca="false">IFERROR(AVERAGE(AB85:AJ85),"")</f>
        <v/>
      </c>
      <c r="AL85" s="9" t="n">
        <f aca="false">COUNT(AB85:AJ85)</f>
        <v>0</v>
      </c>
      <c r="AM85" s="9" t="n">
        <f aca="false">COUNTIF(AB85:AJ85,"DISCUSS")</f>
        <v>0</v>
      </c>
      <c r="AN85" s="9" t="str">
        <f aca="false">IF(AL85=0,"",IF(AM85&gt;0,"Resolve DISCUSS",IF(AL85&lt;Tiers!$B$6,"Unrated",IF(AK85&gt;=Tiers!$B$4,"High",IF(AK85&gt;=Tiers!$B$5,"Medium","Low")))))</f>
        <v/>
      </c>
      <c r="AO85" s="9" t="str">
        <f aca="false">IF(OR(AN85="",AN85="Unrated",AN85="Resolve DISCUSS"),"",COUNTIFS($AN$6:$AN$105,AN85,$AK$6:$AK$105,"&gt;"&amp;AK85)+1)</f>
        <v/>
      </c>
      <c r="AP85" s="12"/>
    </row>
    <row r="86" customFormat="false" ht="15" hidden="false" customHeight="false" outlineLevel="0" collapsed="false">
      <c r="A86" s="15"/>
      <c r="B86" s="3"/>
      <c r="C86" s="16"/>
      <c r="D86" s="16"/>
      <c r="E86" s="12"/>
      <c r="F86" s="17"/>
      <c r="G86" s="17"/>
      <c r="H86" s="12"/>
      <c r="I86" s="17"/>
      <c r="J86" s="17"/>
      <c r="K86" s="17"/>
      <c r="L86" s="17"/>
      <c r="M86" s="17"/>
      <c r="N86" s="17"/>
      <c r="O86" s="17"/>
      <c r="P86" s="17"/>
      <c r="Q86" s="17"/>
      <c r="R86" s="17"/>
      <c r="S86" s="17"/>
      <c r="T86" s="17"/>
      <c r="U86" s="17"/>
      <c r="V86" s="17"/>
      <c r="W86" s="17"/>
      <c r="X86" s="17"/>
      <c r="Y86" s="17"/>
      <c r="Z86" s="17"/>
      <c r="AA86" s="17"/>
      <c r="AB86" s="9" t="str">
        <f aca="false">IF(J86="","",IF(S86="",J86,IF(J86=S86,J86,"DISCUSS")))</f>
        <v/>
      </c>
      <c r="AC86" s="9" t="str">
        <f aca="false">IF(K86="","",IF(T86="",K86,IF(K86=T86,K86,"DISCUSS")))</f>
        <v/>
      </c>
      <c r="AD86" s="9" t="str">
        <f aca="false">IF(L86="","",IF(U86="",L86,IF(L86=U86,L86,"DISCUSS")))</f>
        <v/>
      </c>
      <c r="AE86" s="9" t="str">
        <f aca="false">IF(M86="","",IF(V86="",M86,IF(M86=V86,M86,"DISCUSS")))</f>
        <v/>
      </c>
      <c r="AF86" s="9" t="str">
        <f aca="false">IF(N86="","",IF(W86="",N86,IF(N86=W86,N86,"DISCUSS")))</f>
        <v/>
      </c>
      <c r="AG86" s="9" t="str">
        <f aca="false">IF(O86="","",IF(X86="",O86,IF(O86=X86,O86,"DISCUSS")))</f>
        <v/>
      </c>
      <c r="AH86" s="9" t="str">
        <f aca="false">IF(P86="","",IF(Y86="",P86,IF(P86=Y86,P86,"DISCUSS")))</f>
        <v/>
      </c>
      <c r="AI86" s="9" t="str">
        <f aca="false">IF(Q86="","",IF(Z86="",Q86,IF(Q86=Z86,Q86,"DISCUSS")))</f>
        <v/>
      </c>
      <c r="AJ86" s="9" t="str">
        <f aca="false">IF(R86="","",IF(AA86="",R86,IF(R86=AA86,R86,"DISCUSS")))</f>
        <v/>
      </c>
      <c r="AK86" s="18" t="str">
        <f aca="false">IFERROR(AVERAGE(AB86:AJ86),"")</f>
        <v/>
      </c>
      <c r="AL86" s="9" t="n">
        <f aca="false">COUNT(AB86:AJ86)</f>
        <v>0</v>
      </c>
      <c r="AM86" s="9" t="n">
        <f aca="false">COUNTIF(AB86:AJ86,"DISCUSS")</f>
        <v>0</v>
      </c>
      <c r="AN86" s="9" t="str">
        <f aca="false">IF(AL86=0,"",IF(AM86&gt;0,"Resolve DISCUSS",IF(AL86&lt;Tiers!$B$6,"Unrated",IF(AK86&gt;=Tiers!$B$4,"High",IF(AK86&gt;=Tiers!$B$5,"Medium","Low")))))</f>
        <v/>
      </c>
      <c r="AO86" s="9" t="str">
        <f aca="false">IF(OR(AN86="",AN86="Unrated",AN86="Resolve DISCUSS"),"",COUNTIFS($AN$6:$AN$105,AN86,$AK$6:$AK$105,"&gt;"&amp;AK86)+1)</f>
        <v/>
      </c>
      <c r="AP86" s="12"/>
    </row>
    <row r="87" customFormat="false" ht="15" hidden="false" customHeight="false" outlineLevel="0" collapsed="false">
      <c r="A87" s="15"/>
      <c r="B87" s="3"/>
      <c r="C87" s="16"/>
      <c r="D87" s="16"/>
      <c r="E87" s="12"/>
      <c r="F87" s="17"/>
      <c r="G87" s="17"/>
      <c r="H87" s="12"/>
      <c r="I87" s="17"/>
      <c r="J87" s="17"/>
      <c r="K87" s="17"/>
      <c r="L87" s="17"/>
      <c r="M87" s="17"/>
      <c r="N87" s="17"/>
      <c r="O87" s="17"/>
      <c r="P87" s="17"/>
      <c r="Q87" s="17"/>
      <c r="R87" s="17"/>
      <c r="S87" s="17"/>
      <c r="T87" s="17"/>
      <c r="U87" s="17"/>
      <c r="V87" s="17"/>
      <c r="W87" s="17"/>
      <c r="X87" s="17"/>
      <c r="Y87" s="17"/>
      <c r="Z87" s="17"/>
      <c r="AA87" s="17"/>
      <c r="AB87" s="9" t="str">
        <f aca="false">IF(J87="","",IF(S87="",J87,IF(J87=S87,J87,"DISCUSS")))</f>
        <v/>
      </c>
      <c r="AC87" s="9" t="str">
        <f aca="false">IF(K87="","",IF(T87="",K87,IF(K87=T87,K87,"DISCUSS")))</f>
        <v/>
      </c>
      <c r="AD87" s="9" t="str">
        <f aca="false">IF(L87="","",IF(U87="",L87,IF(L87=U87,L87,"DISCUSS")))</f>
        <v/>
      </c>
      <c r="AE87" s="9" t="str">
        <f aca="false">IF(M87="","",IF(V87="",M87,IF(M87=V87,M87,"DISCUSS")))</f>
        <v/>
      </c>
      <c r="AF87" s="9" t="str">
        <f aca="false">IF(N87="","",IF(W87="",N87,IF(N87=W87,N87,"DISCUSS")))</f>
        <v/>
      </c>
      <c r="AG87" s="9" t="str">
        <f aca="false">IF(O87="","",IF(X87="",O87,IF(O87=X87,O87,"DISCUSS")))</f>
        <v/>
      </c>
      <c r="AH87" s="9" t="str">
        <f aca="false">IF(P87="","",IF(Y87="",P87,IF(P87=Y87,P87,"DISCUSS")))</f>
        <v/>
      </c>
      <c r="AI87" s="9" t="str">
        <f aca="false">IF(Q87="","",IF(Z87="",Q87,IF(Q87=Z87,Q87,"DISCUSS")))</f>
        <v/>
      </c>
      <c r="AJ87" s="9" t="str">
        <f aca="false">IF(R87="","",IF(AA87="",R87,IF(R87=AA87,R87,"DISCUSS")))</f>
        <v/>
      </c>
      <c r="AK87" s="18" t="str">
        <f aca="false">IFERROR(AVERAGE(AB87:AJ87),"")</f>
        <v/>
      </c>
      <c r="AL87" s="9" t="n">
        <f aca="false">COUNT(AB87:AJ87)</f>
        <v>0</v>
      </c>
      <c r="AM87" s="9" t="n">
        <f aca="false">COUNTIF(AB87:AJ87,"DISCUSS")</f>
        <v>0</v>
      </c>
      <c r="AN87" s="9" t="str">
        <f aca="false">IF(AL87=0,"",IF(AM87&gt;0,"Resolve DISCUSS",IF(AL87&lt;Tiers!$B$6,"Unrated",IF(AK87&gt;=Tiers!$B$4,"High",IF(AK87&gt;=Tiers!$B$5,"Medium","Low")))))</f>
        <v/>
      </c>
      <c r="AO87" s="9" t="str">
        <f aca="false">IF(OR(AN87="",AN87="Unrated",AN87="Resolve DISCUSS"),"",COUNTIFS($AN$6:$AN$105,AN87,$AK$6:$AK$105,"&gt;"&amp;AK87)+1)</f>
        <v/>
      </c>
      <c r="AP87" s="12"/>
    </row>
    <row r="88" customFormat="false" ht="15" hidden="false" customHeight="false" outlineLevel="0" collapsed="false">
      <c r="A88" s="15"/>
      <c r="B88" s="3"/>
      <c r="C88" s="16"/>
      <c r="D88" s="16"/>
      <c r="E88" s="12"/>
      <c r="F88" s="17"/>
      <c r="G88" s="17"/>
      <c r="H88" s="12"/>
      <c r="I88" s="17"/>
      <c r="J88" s="17"/>
      <c r="K88" s="17"/>
      <c r="L88" s="17"/>
      <c r="M88" s="17"/>
      <c r="N88" s="17"/>
      <c r="O88" s="17"/>
      <c r="P88" s="17"/>
      <c r="Q88" s="17"/>
      <c r="R88" s="17"/>
      <c r="S88" s="17"/>
      <c r="T88" s="17"/>
      <c r="U88" s="17"/>
      <c r="V88" s="17"/>
      <c r="W88" s="17"/>
      <c r="X88" s="17"/>
      <c r="Y88" s="17"/>
      <c r="Z88" s="17"/>
      <c r="AA88" s="17"/>
      <c r="AB88" s="9" t="str">
        <f aca="false">IF(J88="","",IF(S88="",J88,IF(J88=S88,J88,"DISCUSS")))</f>
        <v/>
      </c>
      <c r="AC88" s="9" t="str">
        <f aca="false">IF(K88="","",IF(T88="",K88,IF(K88=T88,K88,"DISCUSS")))</f>
        <v/>
      </c>
      <c r="AD88" s="9" t="str">
        <f aca="false">IF(L88="","",IF(U88="",L88,IF(L88=U88,L88,"DISCUSS")))</f>
        <v/>
      </c>
      <c r="AE88" s="9" t="str">
        <f aca="false">IF(M88="","",IF(V88="",M88,IF(M88=V88,M88,"DISCUSS")))</f>
        <v/>
      </c>
      <c r="AF88" s="9" t="str">
        <f aca="false">IF(N88="","",IF(W88="",N88,IF(N88=W88,N88,"DISCUSS")))</f>
        <v/>
      </c>
      <c r="AG88" s="9" t="str">
        <f aca="false">IF(O88="","",IF(X88="",O88,IF(O88=X88,O88,"DISCUSS")))</f>
        <v/>
      </c>
      <c r="AH88" s="9" t="str">
        <f aca="false">IF(P88="","",IF(Y88="",P88,IF(P88=Y88,P88,"DISCUSS")))</f>
        <v/>
      </c>
      <c r="AI88" s="9" t="str">
        <f aca="false">IF(Q88="","",IF(Z88="",Q88,IF(Q88=Z88,Q88,"DISCUSS")))</f>
        <v/>
      </c>
      <c r="AJ88" s="9" t="str">
        <f aca="false">IF(R88="","",IF(AA88="",R88,IF(R88=AA88,R88,"DISCUSS")))</f>
        <v/>
      </c>
      <c r="AK88" s="18" t="str">
        <f aca="false">IFERROR(AVERAGE(AB88:AJ88),"")</f>
        <v/>
      </c>
      <c r="AL88" s="9" t="n">
        <f aca="false">COUNT(AB88:AJ88)</f>
        <v>0</v>
      </c>
      <c r="AM88" s="9" t="n">
        <f aca="false">COUNTIF(AB88:AJ88,"DISCUSS")</f>
        <v>0</v>
      </c>
      <c r="AN88" s="9" t="str">
        <f aca="false">IF(AL88=0,"",IF(AM88&gt;0,"Resolve DISCUSS",IF(AL88&lt;Tiers!$B$6,"Unrated",IF(AK88&gt;=Tiers!$B$4,"High",IF(AK88&gt;=Tiers!$B$5,"Medium","Low")))))</f>
        <v/>
      </c>
      <c r="AO88" s="9" t="str">
        <f aca="false">IF(OR(AN88="",AN88="Unrated",AN88="Resolve DISCUSS"),"",COUNTIFS($AN$6:$AN$105,AN88,$AK$6:$AK$105,"&gt;"&amp;AK88)+1)</f>
        <v/>
      </c>
      <c r="AP88" s="12"/>
    </row>
    <row r="89" customFormat="false" ht="15" hidden="false" customHeight="false" outlineLevel="0" collapsed="false">
      <c r="A89" s="15"/>
      <c r="B89" s="3"/>
      <c r="C89" s="16"/>
      <c r="D89" s="16"/>
      <c r="E89" s="12"/>
      <c r="F89" s="17"/>
      <c r="G89" s="17"/>
      <c r="H89" s="12"/>
      <c r="I89" s="17"/>
      <c r="J89" s="17"/>
      <c r="K89" s="17"/>
      <c r="L89" s="17"/>
      <c r="M89" s="17"/>
      <c r="N89" s="17"/>
      <c r="O89" s="17"/>
      <c r="P89" s="17"/>
      <c r="Q89" s="17"/>
      <c r="R89" s="17"/>
      <c r="S89" s="17"/>
      <c r="T89" s="17"/>
      <c r="U89" s="17"/>
      <c r="V89" s="17"/>
      <c r="W89" s="17"/>
      <c r="X89" s="17"/>
      <c r="Y89" s="17"/>
      <c r="Z89" s="17"/>
      <c r="AA89" s="17"/>
      <c r="AB89" s="9" t="str">
        <f aca="false">IF(J89="","",IF(S89="",J89,IF(J89=S89,J89,"DISCUSS")))</f>
        <v/>
      </c>
      <c r="AC89" s="9" t="str">
        <f aca="false">IF(K89="","",IF(T89="",K89,IF(K89=T89,K89,"DISCUSS")))</f>
        <v/>
      </c>
      <c r="AD89" s="9" t="str">
        <f aca="false">IF(L89="","",IF(U89="",L89,IF(L89=U89,L89,"DISCUSS")))</f>
        <v/>
      </c>
      <c r="AE89" s="9" t="str">
        <f aca="false">IF(M89="","",IF(V89="",M89,IF(M89=V89,M89,"DISCUSS")))</f>
        <v/>
      </c>
      <c r="AF89" s="9" t="str">
        <f aca="false">IF(N89="","",IF(W89="",N89,IF(N89=W89,N89,"DISCUSS")))</f>
        <v/>
      </c>
      <c r="AG89" s="9" t="str">
        <f aca="false">IF(O89="","",IF(X89="",O89,IF(O89=X89,O89,"DISCUSS")))</f>
        <v/>
      </c>
      <c r="AH89" s="9" t="str">
        <f aca="false">IF(P89="","",IF(Y89="",P89,IF(P89=Y89,P89,"DISCUSS")))</f>
        <v/>
      </c>
      <c r="AI89" s="9" t="str">
        <f aca="false">IF(Q89="","",IF(Z89="",Q89,IF(Q89=Z89,Q89,"DISCUSS")))</f>
        <v/>
      </c>
      <c r="AJ89" s="9" t="str">
        <f aca="false">IF(R89="","",IF(AA89="",R89,IF(R89=AA89,R89,"DISCUSS")))</f>
        <v/>
      </c>
      <c r="AK89" s="18" t="str">
        <f aca="false">IFERROR(AVERAGE(AB89:AJ89),"")</f>
        <v/>
      </c>
      <c r="AL89" s="9" t="n">
        <f aca="false">COUNT(AB89:AJ89)</f>
        <v>0</v>
      </c>
      <c r="AM89" s="9" t="n">
        <f aca="false">COUNTIF(AB89:AJ89,"DISCUSS")</f>
        <v>0</v>
      </c>
      <c r="AN89" s="9" t="str">
        <f aca="false">IF(AL89=0,"",IF(AM89&gt;0,"Resolve DISCUSS",IF(AL89&lt;Tiers!$B$6,"Unrated",IF(AK89&gt;=Tiers!$B$4,"High",IF(AK89&gt;=Tiers!$B$5,"Medium","Low")))))</f>
        <v/>
      </c>
      <c r="AO89" s="9" t="str">
        <f aca="false">IF(OR(AN89="",AN89="Unrated",AN89="Resolve DISCUSS"),"",COUNTIFS($AN$6:$AN$105,AN89,$AK$6:$AK$105,"&gt;"&amp;AK89)+1)</f>
        <v/>
      </c>
      <c r="AP89" s="12"/>
    </row>
    <row r="90" customFormat="false" ht="15" hidden="false" customHeight="false" outlineLevel="0" collapsed="false">
      <c r="A90" s="15"/>
      <c r="B90" s="3"/>
      <c r="C90" s="16"/>
      <c r="D90" s="16"/>
      <c r="E90" s="12"/>
      <c r="F90" s="17"/>
      <c r="G90" s="17"/>
      <c r="H90" s="12"/>
      <c r="I90" s="17"/>
      <c r="J90" s="17"/>
      <c r="K90" s="17"/>
      <c r="L90" s="17"/>
      <c r="M90" s="17"/>
      <c r="N90" s="17"/>
      <c r="O90" s="17"/>
      <c r="P90" s="17"/>
      <c r="Q90" s="17"/>
      <c r="R90" s="17"/>
      <c r="S90" s="17"/>
      <c r="T90" s="17"/>
      <c r="U90" s="17"/>
      <c r="V90" s="17"/>
      <c r="W90" s="17"/>
      <c r="X90" s="17"/>
      <c r="Y90" s="17"/>
      <c r="Z90" s="17"/>
      <c r="AA90" s="17"/>
      <c r="AB90" s="9" t="str">
        <f aca="false">IF(J90="","",IF(S90="",J90,IF(J90=S90,J90,"DISCUSS")))</f>
        <v/>
      </c>
      <c r="AC90" s="9" t="str">
        <f aca="false">IF(K90="","",IF(T90="",K90,IF(K90=T90,K90,"DISCUSS")))</f>
        <v/>
      </c>
      <c r="AD90" s="9" t="str">
        <f aca="false">IF(L90="","",IF(U90="",L90,IF(L90=U90,L90,"DISCUSS")))</f>
        <v/>
      </c>
      <c r="AE90" s="9" t="str">
        <f aca="false">IF(M90="","",IF(V90="",M90,IF(M90=V90,M90,"DISCUSS")))</f>
        <v/>
      </c>
      <c r="AF90" s="9" t="str">
        <f aca="false">IF(N90="","",IF(W90="",N90,IF(N90=W90,N90,"DISCUSS")))</f>
        <v/>
      </c>
      <c r="AG90" s="9" t="str">
        <f aca="false">IF(O90="","",IF(X90="",O90,IF(O90=X90,O90,"DISCUSS")))</f>
        <v/>
      </c>
      <c r="AH90" s="9" t="str">
        <f aca="false">IF(P90="","",IF(Y90="",P90,IF(P90=Y90,P90,"DISCUSS")))</f>
        <v/>
      </c>
      <c r="AI90" s="9" t="str">
        <f aca="false">IF(Q90="","",IF(Z90="",Q90,IF(Q90=Z90,Q90,"DISCUSS")))</f>
        <v/>
      </c>
      <c r="AJ90" s="9" t="str">
        <f aca="false">IF(R90="","",IF(AA90="",R90,IF(R90=AA90,R90,"DISCUSS")))</f>
        <v/>
      </c>
      <c r="AK90" s="18" t="str">
        <f aca="false">IFERROR(AVERAGE(AB90:AJ90),"")</f>
        <v/>
      </c>
      <c r="AL90" s="9" t="n">
        <f aca="false">COUNT(AB90:AJ90)</f>
        <v>0</v>
      </c>
      <c r="AM90" s="9" t="n">
        <f aca="false">COUNTIF(AB90:AJ90,"DISCUSS")</f>
        <v>0</v>
      </c>
      <c r="AN90" s="9" t="str">
        <f aca="false">IF(AL90=0,"",IF(AM90&gt;0,"Resolve DISCUSS",IF(AL90&lt;Tiers!$B$6,"Unrated",IF(AK90&gt;=Tiers!$B$4,"High",IF(AK90&gt;=Tiers!$B$5,"Medium","Low")))))</f>
        <v/>
      </c>
      <c r="AO90" s="9" t="str">
        <f aca="false">IF(OR(AN90="",AN90="Unrated",AN90="Resolve DISCUSS"),"",COUNTIFS($AN$6:$AN$105,AN90,$AK$6:$AK$105,"&gt;"&amp;AK90)+1)</f>
        <v/>
      </c>
      <c r="AP90" s="12"/>
    </row>
    <row r="91" customFormat="false" ht="15" hidden="false" customHeight="false" outlineLevel="0" collapsed="false">
      <c r="A91" s="15"/>
      <c r="B91" s="3"/>
      <c r="C91" s="16"/>
      <c r="D91" s="16"/>
      <c r="E91" s="12"/>
      <c r="F91" s="17"/>
      <c r="G91" s="17"/>
      <c r="H91" s="12"/>
      <c r="I91" s="17"/>
      <c r="J91" s="17"/>
      <c r="K91" s="17"/>
      <c r="L91" s="17"/>
      <c r="M91" s="17"/>
      <c r="N91" s="17"/>
      <c r="O91" s="17"/>
      <c r="P91" s="17"/>
      <c r="Q91" s="17"/>
      <c r="R91" s="17"/>
      <c r="S91" s="17"/>
      <c r="T91" s="17"/>
      <c r="U91" s="17"/>
      <c r="V91" s="17"/>
      <c r="W91" s="17"/>
      <c r="X91" s="17"/>
      <c r="Y91" s="17"/>
      <c r="Z91" s="17"/>
      <c r="AA91" s="17"/>
      <c r="AB91" s="9" t="str">
        <f aca="false">IF(J91="","",IF(S91="",J91,IF(J91=S91,J91,"DISCUSS")))</f>
        <v/>
      </c>
      <c r="AC91" s="9" t="str">
        <f aca="false">IF(K91="","",IF(T91="",K91,IF(K91=T91,K91,"DISCUSS")))</f>
        <v/>
      </c>
      <c r="AD91" s="9" t="str">
        <f aca="false">IF(L91="","",IF(U91="",L91,IF(L91=U91,L91,"DISCUSS")))</f>
        <v/>
      </c>
      <c r="AE91" s="9" t="str">
        <f aca="false">IF(M91="","",IF(V91="",M91,IF(M91=V91,M91,"DISCUSS")))</f>
        <v/>
      </c>
      <c r="AF91" s="9" t="str">
        <f aca="false">IF(N91="","",IF(W91="",N91,IF(N91=W91,N91,"DISCUSS")))</f>
        <v/>
      </c>
      <c r="AG91" s="9" t="str">
        <f aca="false">IF(O91="","",IF(X91="",O91,IF(O91=X91,O91,"DISCUSS")))</f>
        <v/>
      </c>
      <c r="AH91" s="9" t="str">
        <f aca="false">IF(P91="","",IF(Y91="",P91,IF(P91=Y91,P91,"DISCUSS")))</f>
        <v/>
      </c>
      <c r="AI91" s="9" t="str">
        <f aca="false">IF(Q91="","",IF(Z91="",Q91,IF(Q91=Z91,Q91,"DISCUSS")))</f>
        <v/>
      </c>
      <c r="AJ91" s="9" t="str">
        <f aca="false">IF(R91="","",IF(AA91="",R91,IF(R91=AA91,R91,"DISCUSS")))</f>
        <v/>
      </c>
      <c r="AK91" s="18" t="str">
        <f aca="false">IFERROR(AVERAGE(AB91:AJ91),"")</f>
        <v/>
      </c>
      <c r="AL91" s="9" t="n">
        <f aca="false">COUNT(AB91:AJ91)</f>
        <v>0</v>
      </c>
      <c r="AM91" s="9" t="n">
        <f aca="false">COUNTIF(AB91:AJ91,"DISCUSS")</f>
        <v>0</v>
      </c>
      <c r="AN91" s="9" t="str">
        <f aca="false">IF(AL91=0,"",IF(AM91&gt;0,"Resolve DISCUSS",IF(AL91&lt;Tiers!$B$6,"Unrated",IF(AK91&gt;=Tiers!$B$4,"High",IF(AK91&gt;=Tiers!$B$5,"Medium","Low")))))</f>
        <v/>
      </c>
      <c r="AO91" s="9" t="str">
        <f aca="false">IF(OR(AN91="",AN91="Unrated",AN91="Resolve DISCUSS"),"",COUNTIFS($AN$6:$AN$105,AN91,$AK$6:$AK$105,"&gt;"&amp;AK91)+1)</f>
        <v/>
      </c>
      <c r="AP91" s="12"/>
    </row>
    <row r="92" customFormat="false" ht="15" hidden="false" customHeight="false" outlineLevel="0" collapsed="false">
      <c r="A92" s="15"/>
      <c r="B92" s="3"/>
      <c r="C92" s="16"/>
      <c r="D92" s="16"/>
      <c r="E92" s="12"/>
      <c r="F92" s="17"/>
      <c r="G92" s="17"/>
      <c r="H92" s="12"/>
      <c r="I92" s="17"/>
      <c r="J92" s="17"/>
      <c r="K92" s="17"/>
      <c r="L92" s="17"/>
      <c r="M92" s="17"/>
      <c r="N92" s="17"/>
      <c r="O92" s="17"/>
      <c r="P92" s="17"/>
      <c r="Q92" s="17"/>
      <c r="R92" s="17"/>
      <c r="S92" s="17"/>
      <c r="T92" s="17"/>
      <c r="U92" s="17"/>
      <c r="V92" s="17"/>
      <c r="W92" s="17"/>
      <c r="X92" s="17"/>
      <c r="Y92" s="17"/>
      <c r="Z92" s="17"/>
      <c r="AA92" s="17"/>
      <c r="AB92" s="9" t="str">
        <f aca="false">IF(J92="","",IF(S92="",J92,IF(J92=S92,J92,"DISCUSS")))</f>
        <v/>
      </c>
      <c r="AC92" s="9" t="str">
        <f aca="false">IF(K92="","",IF(T92="",K92,IF(K92=T92,K92,"DISCUSS")))</f>
        <v/>
      </c>
      <c r="AD92" s="9" t="str">
        <f aca="false">IF(L92="","",IF(U92="",L92,IF(L92=U92,L92,"DISCUSS")))</f>
        <v/>
      </c>
      <c r="AE92" s="9" t="str">
        <f aca="false">IF(M92="","",IF(V92="",M92,IF(M92=V92,M92,"DISCUSS")))</f>
        <v/>
      </c>
      <c r="AF92" s="9" t="str">
        <f aca="false">IF(N92="","",IF(W92="",N92,IF(N92=W92,N92,"DISCUSS")))</f>
        <v/>
      </c>
      <c r="AG92" s="9" t="str">
        <f aca="false">IF(O92="","",IF(X92="",O92,IF(O92=X92,O92,"DISCUSS")))</f>
        <v/>
      </c>
      <c r="AH92" s="9" t="str">
        <f aca="false">IF(P92="","",IF(Y92="",P92,IF(P92=Y92,P92,"DISCUSS")))</f>
        <v/>
      </c>
      <c r="AI92" s="9" t="str">
        <f aca="false">IF(Q92="","",IF(Z92="",Q92,IF(Q92=Z92,Q92,"DISCUSS")))</f>
        <v/>
      </c>
      <c r="AJ92" s="9" t="str">
        <f aca="false">IF(R92="","",IF(AA92="",R92,IF(R92=AA92,R92,"DISCUSS")))</f>
        <v/>
      </c>
      <c r="AK92" s="18" t="str">
        <f aca="false">IFERROR(AVERAGE(AB92:AJ92),"")</f>
        <v/>
      </c>
      <c r="AL92" s="9" t="n">
        <f aca="false">COUNT(AB92:AJ92)</f>
        <v>0</v>
      </c>
      <c r="AM92" s="9" t="n">
        <f aca="false">COUNTIF(AB92:AJ92,"DISCUSS")</f>
        <v>0</v>
      </c>
      <c r="AN92" s="9" t="str">
        <f aca="false">IF(AL92=0,"",IF(AM92&gt;0,"Resolve DISCUSS",IF(AL92&lt;Tiers!$B$6,"Unrated",IF(AK92&gt;=Tiers!$B$4,"High",IF(AK92&gt;=Tiers!$B$5,"Medium","Low")))))</f>
        <v/>
      </c>
      <c r="AO92" s="9" t="str">
        <f aca="false">IF(OR(AN92="",AN92="Unrated",AN92="Resolve DISCUSS"),"",COUNTIFS($AN$6:$AN$105,AN92,$AK$6:$AK$105,"&gt;"&amp;AK92)+1)</f>
        <v/>
      </c>
      <c r="AP92" s="12"/>
    </row>
    <row r="93" customFormat="false" ht="15" hidden="false" customHeight="false" outlineLevel="0" collapsed="false">
      <c r="A93" s="15"/>
      <c r="B93" s="3"/>
      <c r="C93" s="16"/>
      <c r="D93" s="16"/>
      <c r="E93" s="12"/>
      <c r="F93" s="17"/>
      <c r="G93" s="17"/>
      <c r="H93" s="12"/>
      <c r="I93" s="17"/>
      <c r="J93" s="17"/>
      <c r="K93" s="17"/>
      <c r="L93" s="17"/>
      <c r="M93" s="17"/>
      <c r="N93" s="17"/>
      <c r="O93" s="17"/>
      <c r="P93" s="17"/>
      <c r="Q93" s="17"/>
      <c r="R93" s="17"/>
      <c r="S93" s="17"/>
      <c r="T93" s="17"/>
      <c r="U93" s="17"/>
      <c r="V93" s="17"/>
      <c r="W93" s="17"/>
      <c r="X93" s="17"/>
      <c r="Y93" s="17"/>
      <c r="Z93" s="17"/>
      <c r="AA93" s="17"/>
      <c r="AB93" s="9" t="str">
        <f aca="false">IF(J93="","",IF(S93="",J93,IF(J93=S93,J93,"DISCUSS")))</f>
        <v/>
      </c>
      <c r="AC93" s="9" t="str">
        <f aca="false">IF(K93="","",IF(T93="",K93,IF(K93=T93,K93,"DISCUSS")))</f>
        <v/>
      </c>
      <c r="AD93" s="9" t="str">
        <f aca="false">IF(L93="","",IF(U93="",L93,IF(L93=U93,L93,"DISCUSS")))</f>
        <v/>
      </c>
      <c r="AE93" s="9" t="str">
        <f aca="false">IF(M93="","",IF(V93="",M93,IF(M93=V93,M93,"DISCUSS")))</f>
        <v/>
      </c>
      <c r="AF93" s="9" t="str">
        <f aca="false">IF(N93="","",IF(W93="",N93,IF(N93=W93,N93,"DISCUSS")))</f>
        <v/>
      </c>
      <c r="AG93" s="9" t="str">
        <f aca="false">IF(O93="","",IF(X93="",O93,IF(O93=X93,O93,"DISCUSS")))</f>
        <v/>
      </c>
      <c r="AH93" s="9" t="str">
        <f aca="false">IF(P93="","",IF(Y93="",P93,IF(P93=Y93,P93,"DISCUSS")))</f>
        <v/>
      </c>
      <c r="AI93" s="9" t="str">
        <f aca="false">IF(Q93="","",IF(Z93="",Q93,IF(Q93=Z93,Q93,"DISCUSS")))</f>
        <v/>
      </c>
      <c r="AJ93" s="9" t="str">
        <f aca="false">IF(R93="","",IF(AA93="",R93,IF(R93=AA93,R93,"DISCUSS")))</f>
        <v/>
      </c>
      <c r="AK93" s="18" t="str">
        <f aca="false">IFERROR(AVERAGE(AB93:AJ93),"")</f>
        <v/>
      </c>
      <c r="AL93" s="9" t="n">
        <f aca="false">COUNT(AB93:AJ93)</f>
        <v>0</v>
      </c>
      <c r="AM93" s="9" t="n">
        <f aca="false">COUNTIF(AB93:AJ93,"DISCUSS")</f>
        <v>0</v>
      </c>
      <c r="AN93" s="9" t="str">
        <f aca="false">IF(AL93=0,"",IF(AM93&gt;0,"Resolve DISCUSS",IF(AL93&lt;Tiers!$B$6,"Unrated",IF(AK93&gt;=Tiers!$B$4,"High",IF(AK93&gt;=Tiers!$B$5,"Medium","Low")))))</f>
        <v/>
      </c>
      <c r="AO93" s="9" t="str">
        <f aca="false">IF(OR(AN93="",AN93="Unrated",AN93="Resolve DISCUSS"),"",COUNTIFS($AN$6:$AN$105,AN93,$AK$6:$AK$105,"&gt;"&amp;AK93)+1)</f>
        <v/>
      </c>
      <c r="AP93" s="12"/>
    </row>
    <row r="94" customFormat="false" ht="15" hidden="false" customHeight="false" outlineLevel="0" collapsed="false">
      <c r="A94" s="15"/>
      <c r="B94" s="3"/>
      <c r="C94" s="16"/>
      <c r="D94" s="16"/>
      <c r="E94" s="12"/>
      <c r="F94" s="17"/>
      <c r="G94" s="17"/>
      <c r="H94" s="12"/>
      <c r="I94" s="17"/>
      <c r="J94" s="17"/>
      <c r="K94" s="17"/>
      <c r="L94" s="17"/>
      <c r="M94" s="17"/>
      <c r="N94" s="17"/>
      <c r="O94" s="17"/>
      <c r="P94" s="17"/>
      <c r="Q94" s="17"/>
      <c r="R94" s="17"/>
      <c r="S94" s="17"/>
      <c r="T94" s="17"/>
      <c r="U94" s="17"/>
      <c r="V94" s="17"/>
      <c r="W94" s="17"/>
      <c r="X94" s="17"/>
      <c r="Y94" s="17"/>
      <c r="Z94" s="17"/>
      <c r="AA94" s="17"/>
      <c r="AB94" s="9" t="str">
        <f aca="false">IF(J94="","",IF(S94="",J94,IF(J94=S94,J94,"DISCUSS")))</f>
        <v/>
      </c>
      <c r="AC94" s="9" t="str">
        <f aca="false">IF(K94="","",IF(T94="",K94,IF(K94=T94,K94,"DISCUSS")))</f>
        <v/>
      </c>
      <c r="AD94" s="9" t="str">
        <f aca="false">IF(L94="","",IF(U94="",L94,IF(L94=U94,L94,"DISCUSS")))</f>
        <v/>
      </c>
      <c r="AE94" s="9" t="str">
        <f aca="false">IF(M94="","",IF(V94="",M94,IF(M94=V94,M94,"DISCUSS")))</f>
        <v/>
      </c>
      <c r="AF94" s="9" t="str">
        <f aca="false">IF(N94="","",IF(W94="",N94,IF(N94=W94,N94,"DISCUSS")))</f>
        <v/>
      </c>
      <c r="AG94" s="9" t="str">
        <f aca="false">IF(O94="","",IF(X94="",O94,IF(O94=X94,O94,"DISCUSS")))</f>
        <v/>
      </c>
      <c r="AH94" s="9" t="str">
        <f aca="false">IF(P94="","",IF(Y94="",P94,IF(P94=Y94,P94,"DISCUSS")))</f>
        <v/>
      </c>
      <c r="AI94" s="9" t="str">
        <f aca="false">IF(Q94="","",IF(Z94="",Q94,IF(Q94=Z94,Q94,"DISCUSS")))</f>
        <v/>
      </c>
      <c r="AJ94" s="9" t="str">
        <f aca="false">IF(R94="","",IF(AA94="",R94,IF(R94=AA94,R94,"DISCUSS")))</f>
        <v/>
      </c>
      <c r="AK94" s="18" t="str">
        <f aca="false">IFERROR(AVERAGE(AB94:AJ94),"")</f>
        <v/>
      </c>
      <c r="AL94" s="9" t="n">
        <f aca="false">COUNT(AB94:AJ94)</f>
        <v>0</v>
      </c>
      <c r="AM94" s="9" t="n">
        <f aca="false">COUNTIF(AB94:AJ94,"DISCUSS")</f>
        <v>0</v>
      </c>
      <c r="AN94" s="9" t="str">
        <f aca="false">IF(AL94=0,"",IF(AM94&gt;0,"Resolve DISCUSS",IF(AL94&lt;Tiers!$B$6,"Unrated",IF(AK94&gt;=Tiers!$B$4,"High",IF(AK94&gt;=Tiers!$B$5,"Medium","Low")))))</f>
        <v/>
      </c>
      <c r="AO94" s="9" t="str">
        <f aca="false">IF(OR(AN94="",AN94="Unrated",AN94="Resolve DISCUSS"),"",COUNTIFS($AN$6:$AN$105,AN94,$AK$6:$AK$105,"&gt;"&amp;AK94)+1)</f>
        <v/>
      </c>
      <c r="AP94" s="12"/>
    </row>
    <row r="95" customFormat="false" ht="15" hidden="false" customHeight="false" outlineLevel="0" collapsed="false">
      <c r="A95" s="15"/>
      <c r="B95" s="3"/>
      <c r="C95" s="16"/>
      <c r="D95" s="16"/>
      <c r="E95" s="12"/>
      <c r="F95" s="17"/>
      <c r="G95" s="17"/>
      <c r="H95" s="12"/>
      <c r="I95" s="17"/>
      <c r="J95" s="17"/>
      <c r="K95" s="17"/>
      <c r="L95" s="17"/>
      <c r="M95" s="17"/>
      <c r="N95" s="17"/>
      <c r="O95" s="17"/>
      <c r="P95" s="17"/>
      <c r="Q95" s="17"/>
      <c r="R95" s="17"/>
      <c r="S95" s="17"/>
      <c r="T95" s="17"/>
      <c r="U95" s="17"/>
      <c r="V95" s="17"/>
      <c r="W95" s="17"/>
      <c r="X95" s="17"/>
      <c r="Y95" s="17"/>
      <c r="Z95" s="17"/>
      <c r="AA95" s="17"/>
      <c r="AB95" s="9" t="str">
        <f aca="false">IF(J95="","",IF(S95="",J95,IF(J95=S95,J95,"DISCUSS")))</f>
        <v/>
      </c>
      <c r="AC95" s="9" t="str">
        <f aca="false">IF(K95="","",IF(T95="",K95,IF(K95=T95,K95,"DISCUSS")))</f>
        <v/>
      </c>
      <c r="AD95" s="9" t="str">
        <f aca="false">IF(L95="","",IF(U95="",L95,IF(L95=U95,L95,"DISCUSS")))</f>
        <v/>
      </c>
      <c r="AE95" s="9" t="str">
        <f aca="false">IF(M95="","",IF(V95="",M95,IF(M95=V95,M95,"DISCUSS")))</f>
        <v/>
      </c>
      <c r="AF95" s="9" t="str">
        <f aca="false">IF(N95="","",IF(W95="",N95,IF(N95=W95,N95,"DISCUSS")))</f>
        <v/>
      </c>
      <c r="AG95" s="9" t="str">
        <f aca="false">IF(O95="","",IF(X95="",O95,IF(O95=X95,O95,"DISCUSS")))</f>
        <v/>
      </c>
      <c r="AH95" s="9" t="str">
        <f aca="false">IF(P95="","",IF(Y95="",P95,IF(P95=Y95,P95,"DISCUSS")))</f>
        <v/>
      </c>
      <c r="AI95" s="9" t="str">
        <f aca="false">IF(Q95="","",IF(Z95="",Q95,IF(Q95=Z95,Q95,"DISCUSS")))</f>
        <v/>
      </c>
      <c r="AJ95" s="9" t="str">
        <f aca="false">IF(R95="","",IF(AA95="",R95,IF(R95=AA95,R95,"DISCUSS")))</f>
        <v/>
      </c>
      <c r="AK95" s="18" t="str">
        <f aca="false">IFERROR(AVERAGE(AB95:AJ95),"")</f>
        <v/>
      </c>
      <c r="AL95" s="9" t="n">
        <f aca="false">COUNT(AB95:AJ95)</f>
        <v>0</v>
      </c>
      <c r="AM95" s="9" t="n">
        <f aca="false">COUNTIF(AB95:AJ95,"DISCUSS")</f>
        <v>0</v>
      </c>
      <c r="AN95" s="9" t="str">
        <f aca="false">IF(AL95=0,"",IF(AM95&gt;0,"Resolve DISCUSS",IF(AL95&lt;Tiers!$B$6,"Unrated",IF(AK95&gt;=Tiers!$B$4,"High",IF(AK95&gt;=Tiers!$B$5,"Medium","Low")))))</f>
        <v/>
      </c>
      <c r="AO95" s="9" t="str">
        <f aca="false">IF(OR(AN95="",AN95="Unrated",AN95="Resolve DISCUSS"),"",COUNTIFS($AN$6:$AN$105,AN95,$AK$6:$AK$105,"&gt;"&amp;AK95)+1)</f>
        <v/>
      </c>
      <c r="AP95" s="12"/>
    </row>
    <row r="96" customFormat="false" ht="15" hidden="false" customHeight="false" outlineLevel="0" collapsed="false">
      <c r="A96" s="15"/>
      <c r="B96" s="3"/>
      <c r="C96" s="16"/>
      <c r="D96" s="16"/>
      <c r="E96" s="12"/>
      <c r="F96" s="17"/>
      <c r="G96" s="17"/>
      <c r="H96" s="12"/>
      <c r="I96" s="17"/>
      <c r="J96" s="17"/>
      <c r="K96" s="17"/>
      <c r="L96" s="17"/>
      <c r="M96" s="17"/>
      <c r="N96" s="17"/>
      <c r="O96" s="17"/>
      <c r="P96" s="17"/>
      <c r="Q96" s="17"/>
      <c r="R96" s="17"/>
      <c r="S96" s="17"/>
      <c r="T96" s="17"/>
      <c r="U96" s="17"/>
      <c r="V96" s="17"/>
      <c r="W96" s="17"/>
      <c r="X96" s="17"/>
      <c r="Y96" s="17"/>
      <c r="Z96" s="17"/>
      <c r="AA96" s="17"/>
      <c r="AB96" s="9" t="str">
        <f aca="false">IF(J96="","",IF(S96="",J96,IF(J96=S96,J96,"DISCUSS")))</f>
        <v/>
      </c>
      <c r="AC96" s="9" t="str">
        <f aca="false">IF(K96="","",IF(T96="",K96,IF(K96=T96,K96,"DISCUSS")))</f>
        <v/>
      </c>
      <c r="AD96" s="9" t="str">
        <f aca="false">IF(L96="","",IF(U96="",L96,IF(L96=U96,L96,"DISCUSS")))</f>
        <v/>
      </c>
      <c r="AE96" s="9" t="str">
        <f aca="false">IF(M96="","",IF(V96="",M96,IF(M96=V96,M96,"DISCUSS")))</f>
        <v/>
      </c>
      <c r="AF96" s="9" t="str">
        <f aca="false">IF(N96="","",IF(W96="",N96,IF(N96=W96,N96,"DISCUSS")))</f>
        <v/>
      </c>
      <c r="AG96" s="9" t="str">
        <f aca="false">IF(O96="","",IF(X96="",O96,IF(O96=X96,O96,"DISCUSS")))</f>
        <v/>
      </c>
      <c r="AH96" s="9" t="str">
        <f aca="false">IF(P96="","",IF(Y96="",P96,IF(P96=Y96,P96,"DISCUSS")))</f>
        <v/>
      </c>
      <c r="AI96" s="9" t="str">
        <f aca="false">IF(Q96="","",IF(Z96="",Q96,IF(Q96=Z96,Q96,"DISCUSS")))</f>
        <v/>
      </c>
      <c r="AJ96" s="9" t="str">
        <f aca="false">IF(R96="","",IF(AA96="",R96,IF(R96=AA96,R96,"DISCUSS")))</f>
        <v/>
      </c>
      <c r="AK96" s="18" t="str">
        <f aca="false">IFERROR(AVERAGE(AB96:AJ96),"")</f>
        <v/>
      </c>
      <c r="AL96" s="9" t="n">
        <f aca="false">COUNT(AB96:AJ96)</f>
        <v>0</v>
      </c>
      <c r="AM96" s="9" t="n">
        <f aca="false">COUNTIF(AB96:AJ96,"DISCUSS")</f>
        <v>0</v>
      </c>
      <c r="AN96" s="9" t="str">
        <f aca="false">IF(AL96=0,"",IF(AM96&gt;0,"Resolve DISCUSS",IF(AL96&lt;Tiers!$B$6,"Unrated",IF(AK96&gt;=Tiers!$B$4,"High",IF(AK96&gt;=Tiers!$B$5,"Medium","Low")))))</f>
        <v/>
      </c>
      <c r="AO96" s="9" t="str">
        <f aca="false">IF(OR(AN96="",AN96="Unrated",AN96="Resolve DISCUSS"),"",COUNTIFS($AN$6:$AN$105,AN96,$AK$6:$AK$105,"&gt;"&amp;AK96)+1)</f>
        <v/>
      </c>
      <c r="AP96" s="12"/>
    </row>
    <row r="97" customFormat="false" ht="15" hidden="false" customHeight="false" outlineLevel="0" collapsed="false">
      <c r="A97" s="15"/>
      <c r="B97" s="3"/>
      <c r="C97" s="16"/>
      <c r="D97" s="16"/>
      <c r="E97" s="12"/>
      <c r="F97" s="17"/>
      <c r="G97" s="17"/>
      <c r="H97" s="12"/>
      <c r="I97" s="17"/>
      <c r="J97" s="17"/>
      <c r="K97" s="17"/>
      <c r="L97" s="17"/>
      <c r="M97" s="17"/>
      <c r="N97" s="17"/>
      <c r="O97" s="17"/>
      <c r="P97" s="17"/>
      <c r="Q97" s="17"/>
      <c r="R97" s="17"/>
      <c r="S97" s="17"/>
      <c r="T97" s="17"/>
      <c r="U97" s="17"/>
      <c r="V97" s="17"/>
      <c r="W97" s="17"/>
      <c r="X97" s="17"/>
      <c r="Y97" s="17"/>
      <c r="Z97" s="17"/>
      <c r="AA97" s="17"/>
      <c r="AB97" s="9" t="str">
        <f aca="false">IF(J97="","",IF(S97="",J97,IF(J97=S97,J97,"DISCUSS")))</f>
        <v/>
      </c>
      <c r="AC97" s="9" t="str">
        <f aca="false">IF(K97="","",IF(T97="",K97,IF(K97=T97,K97,"DISCUSS")))</f>
        <v/>
      </c>
      <c r="AD97" s="9" t="str">
        <f aca="false">IF(L97="","",IF(U97="",L97,IF(L97=U97,L97,"DISCUSS")))</f>
        <v/>
      </c>
      <c r="AE97" s="9" t="str">
        <f aca="false">IF(M97="","",IF(V97="",M97,IF(M97=V97,M97,"DISCUSS")))</f>
        <v/>
      </c>
      <c r="AF97" s="9" t="str">
        <f aca="false">IF(N97="","",IF(W97="",N97,IF(N97=W97,N97,"DISCUSS")))</f>
        <v/>
      </c>
      <c r="AG97" s="9" t="str">
        <f aca="false">IF(O97="","",IF(X97="",O97,IF(O97=X97,O97,"DISCUSS")))</f>
        <v/>
      </c>
      <c r="AH97" s="9" t="str">
        <f aca="false">IF(P97="","",IF(Y97="",P97,IF(P97=Y97,P97,"DISCUSS")))</f>
        <v/>
      </c>
      <c r="AI97" s="9" t="str">
        <f aca="false">IF(Q97="","",IF(Z97="",Q97,IF(Q97=Z97,Q97,"DISCUSS")))</f>
        <v/>
      </c>
      <c r="AJ97" s="9" t="str">
        <f aca="false">IF(R97="","",IF(AA97="",R97,IF(R97=AA97,R97,"DISCUSS")))</f>
        <v/>
      </c>
      <c r="AK97" s="18" t="str">
        <f aca="false">IFERROR(AVERAGE(AB97:AJ97),"")</f>
        <v/>
      </c>
      <c r="AL97" s="9" t="n">
        <f aca="false">COUNT(AB97:AJ97)</f>
        <v>0</v>
      </c>
      <c r="AM97" s="9" t="n">
        <f aca="false">COUNTIF(AB97:AJ97,"DISCUSS")</f>
        <v>0</v>
      </c>
      <c r="AN97" s="9" t="str">
        <f aca="false">IF(AL97=0,"",IF(AM97&gt;0,"Resolve DISCUSS",IF(AL97&lt;Tiers!$B$6,"Unrated",IF(AK97&gt;=Tiers!$B$4,"High",IF(AK97&gt;=Tiers!$B$5,"Medium","Low")))))</f>
        <v/>
      </c>
      <c r="AO97" s="9" t="str">
        <f aca="false">IF(OR(AN97="",AN97="Unrated",AN97="Resolve DISCUSS"),"",COUNTIFS($AN$6:$AN$105,AN97,$AK$6:$AK$105,"&gt;"&amp;AK97)+1)</f>
        <v/>
      </c>
      <c r="AP97" s="12"/>
    </row>
    <row r="98" customFormat="false" ht="15" hidden="false" customHeight="false" outlineLevel="0" collapsed="false">
      <c r="A98" s="15"/>
      <c r="B98" s="3"/>
      <c r="C98" s="16"/>
      <c r="D98" s="16"/>
      <c r="E98" s="12"/>
      <c r="F98" s="17"/>
      <c r="G98" s="17"/>
      <c r="H98" s="12"/>
      <c r="I98" s="17"/>
      <c r="J98" s="17"/>
      <c r="K98" s="17"/>
      <c r="L98" s="17"/>
      <c r="M98" s="17"/>
      <c r="N98" s="17"/>
      <c r="O98" s="17"/>
      <c r="P98" s="17"/>
      <c r="Q98" s="17"/>
      <c r="R98" s="17"/>
      <c r="S98" s="17"/>
      <c r="T98" s="17"/>
      <c r="U98" s="17"/>
      <c r="V98" s="17"/>
      <c r="W98" s="17"/>
      <c r="X98" s="17"/>
      <c r="Y98" s="17"/>
      <c r="Z98" s="17"/>
      <c r="AA98" s="17"/>
      <c r="AB98" s="9" t="str">
        <f aca="false">IF(J98="","",IF(S98="",J98,IF(J98=S98,J98,"DISCUSS")))</f>
        <v/>
      </c>
      <c r="AC98" s="9" t="str">
        <f aca="false">IF(K98="","",IF(T98="",K98,IF(K98=T98,K98,"DISCUSS")))</f>
        <v/>
      </c>
      <c r="AD98" s="9" t="str">
        <f aca="false">IF(L98="","",IF(U98="",L98,IF(L98=U98,L98,"DISCUSS")))</f>
        <v/>
      </c>
      <c r="AE98" s="9" t="str">
        <f aca="false">IF(M98="","",IF(V98="",M98,IF(M98=V98,M98,"DISCUSS")))</f>
        <v/>
      </c>
      <c r="AF98" s="9" t="str">
        <f aca="false">IF(N98="","",IF(W98="",N98,IF(N98=W98,N98,"DISCUSS")))</f>
        <v/>
      </c>
      <c r="AG98" s="9" t="str">
        <f aca="false">IF(O98="","",IF(X98="",O98,IF(O98=X98,O98,"DISCUSS")))</f>
        <v/>
      </c>
      <c r="AH98" s="9" t="str">
        <f aca="false">IF(P98="","",IF(Y98="",P98,IF(P98=Y98,P98,"DISCUSS")))</f>
        <v/>
      </c>
      <c r="AI98" s="9" t="str">
        <f aca="false">IF(Q98="","",IF(Z98="",Q98,IF(Q98=Z98,Q98,"DISCUSS")))</f>
        <v/>
      </c>
      <c r="AJ98" s="9" t="str">
        <f aca="false">IF(R98="","",IF(AA98="",R98,IF(R98=AA98,R98,"DISCUSS")))</f>
        <v/>
      </c>
      <c r="AK98" s="18" t="str">
        <f aca="false">IFERROR(AVERAGE(AB98:AJ98),"")</f>
        <v/>
      </c>
      <c r="AL98" s="9" t="n">
        <f aca="false">COUNT(AB98:AJ98)</f>
        <v>0</v>
      </c>
      <c r="AM98" s="9" t="n">
        <f aca="false">COUNTIF(AB98:AJ98,"DISCUSS")</f>
        <v>0</v>
      </c>
      <c r="AN98" s="9" t="str">
        <f aca="false">IF(AL98=0,"",IF(AM98&gt;0,"Resolve DISCUSS",IF(AL98&lt;Tiers!$B$6,"Unrated",IF(AK98&gt;=Tiers!$B$4,"High",IF(AK98&gt;=Tiers!$B$5,"Medium","Low")))))</f>
        <v/>
      </c>
      <c r="AO98" s="9" t="str">
        <f aca="false">IF(OR(AN98="",AN98="Unrated",AN98="Resolve DISCUSS"),"",COUNTIFS($AN$6:$AN$105,AN98,$AK$6:$AK$105,"&gt;"&amp;AK98)+1)</f>
        <v/>
      </c>
      <c r="AP98" s="12"/>
    </row>
    <row r="99" customFormat="false" ht="15" hidden="false" customHeight="false" outlineLevel="0" collapsed="false">
      <c r="A99" s="15"/>
      <c r="B99" s="3"/>
      <c r="C99" s="16"/>
      <c r="D99" s="16"/>
      <c r="E99" s="12"/>
      <c r="F99" s="17"/>
      <c r="G99" s="17"/>
      <c r="H99" s="12"/>
      <c r="I99" s="17"/>
      <c r="J99" s="17"/>
      <c r="K99" s="17"/>
      <c r="L99" s="17"/>
      <c r="M99" s="17"/>
      <c r="N99" s="17"/>
      <c r="O99" s="17"/>
      <c r="P99" s="17"/>
      <c r="Q99" s="17"/>
      <c r="R99" s="17"/>
      <c r="S99" s="17"/>
      <c r="T99" s="17"/>
      <c r="U99" s="17"/>
      <c r="V99" s="17"/>
      <c r="W99" s="17"/>
      <c r="X99" s="17"/>
      <c r="Y99" s="17"/>
      <c r="Z99" s="17"/>
      <c r="AA99" s="17"/>
      <c r="AB99" s="9" t="str">
        <f aca="false">IF(J99="","",IF(S99="",J99,IF(J99=S99,J99,"DISCUSS")))</f>
        <v/>
      </c>
      <c r="AC99" s="9" t="str">
        <f aca="false">IF(K99="","",IF(T99="",K99,IF(K99=T99,K99,"DISCUSS")))</f>
        <v/>
      </c>
      <c r="AD99" s="9" t="str">
        <f aca="false">IF(L99="","",IF(U99="",L99,IF(L99=U99,L99,"DISCUSS")))</f>
        <v/>
      </c>
      <c r="AE99" s="9" t="str">
        <f aca="false">IF(M99="","",IF(V99="",M99,IF(M99=V99,M99,"DISCUSS")))</f>
        <v/>
      </c>
      <c r="AF99" s="9" t="str">
        <f aca="false">IF(N99="","",IF(W99="",N99,IF(N99=W99,N99,"DISCUSS")))</f>
        <v/>
      </c>
      <c r="AG99" s="9" t="str">
        <f aca="false">IF(O99="","",IF(X99="",O99,IF(O99=X99,O99,"DISCUSS")))</f>
        <v/>
      </c>
      <c r="AH99" s="9" t="str">
        <f aca="false">IF(P99="","",IF(Y99="",P99,IF(P99=Y99,P99,"DISCUSS")))</f>
        <v/>
      </c>
      <c r="AI99" s="9" t="str">
        <f aca="false">IF(Q99="","",IF(Z99="",Q99,IF(Q99=Z99,Q99,"DISCUSS")))</f>
        <v/>
      </c>
      <c r="AJ99" s="9" t="str">
        <f aca="false">IF(R99="","",IF(AA99="",R99,IF(R99=AA99,R99,"DISCUSS")))</f>
        <v/>
      </c>
      <c r="AK99" s="18" t="str">
        <f aca="false">IFERROR(AVERAGE(AB99:AJ99),"")</f>
        <v/>
      </c>
      <c r="AL99" s="9" t="n">
        <f aca="false">COUNT(AB99:AJ99)</f>
        <v>0</v>
      </c>
      <c r="AM99" s="9" t="n">
        <f aca="false">COUNTIF(AB99:AJ99,"DISCUSS")</f>
        <v>0</v>
      </c>
      <c r="AN99" s="9" t="str">
        <f aca="false">IF(AL99=0,"",IF(AM99&gt;0,"Resolve DISCUSS",IF(AL99&lt;Tiers!$B$6,"Unrated",IF(AK99&gt;=Tiers!$B$4,"High",IF(AK99&gt;=Tiers!$B$5,"Medium","Low")))))</f>
        <v/>
      </c>
      <c r="AO99" s="9" t="str">
        <f aca="false">IF(OR(AN99="",AN99="Unrated",AN99="Resolve DISCUSS"),"",COUNTIFS($AN$6:$AN$105,AN99,$AK$6:$AK$105,"&gt;"&amp;AK99)+1)</f>
        <v/>
      </c>
      <c r="AP99" s="12"/>
    </row>
    <row r="100" customFormat="false" ht="15" hidden="false" customHeight="false" outlineLevel="0" collapsed="false">
      <c r="A100" s="15"/>
      <c r="B100" s="3"/>
      <c r="C100" s="16"/>
      <c r="D100" s="16"/>
      <c r="E100" s="12"/>
      <c r="F100" s="17"/>
      <c r="G100" s="17"/>
      <c r="H100" s="12"/>
      <c r="I100" s="17"/>
      <c r="J100" s="17"/>
      <c r="K100" s="17"/>
      <c r="L100" s="17"/>
      <c r="M100" s="17"/>
      <c r="N100" s="17"/>
      <c r="O100" s="17"/>
      <c r="P100" s="17"/>
      <c r="Q100" s="17"/>
      <c r="R100" s="17"/>
      <c r="S100" s="17"/>
      <c r="T100" s="17"/>
      <c r="U100" s="17"/>
      <c r="V100" s="17"/>
      <c r="W100" s="17"/>
      <c r="X100" s="17"/>
      <c r="Y100" s="17"/>
      <c r="Z100" s="17"/>
      <c r="AA100" s="17"/>
      <c r="AB100" s="9" t="str">
        <f aca="false">IF(J100="","",IF(S100="",J100,IF(J100=S100,J100,"DISCUSS")))</f>
        <v/>
      </c>
      <c r="AC100" s="9" t="str">
        <f aca="false">IF(K100="","",IF(T100="",K100,IF(K100=T100,K100,"DISCUSS")))</f>
        <v/>
      </c>
      <c r="AD100" s="9" t="str">
        <f aca="false">IF(L100="","",IF(U100="",L100,IF(L100=U100,L100,"DISCUSS")))</f>
        <v/>
      </c>
      <c r="AE100" s="9" t="str">
        <f aca="false">IF(M100="","",IF(V100="",M100,IF(M100=V100,M100,"DISCUSS")))</f>
        <v/>
      </c>
      <c r="AF100" s="9" t="str">
        <f aca="false">IF(N100="","",IF(W100="",N100,IF(N100=W100,N100,"DISCUSS")))</f>
        <v/>
      </c>
      <c r="AG100" s="9" t="str">
        <f aca="false">IF(O100="","",IF(X100="",O100,IF(O100=X100,O100,"DISCUSS")))</f>
        <v/>
      </c>
      <c r="AH100" s="9" t="str">
        <f aca="false">IF(P100="","",IF(Y100="",P100,IF(P100=Y100,P100,"DISCUSS")))</f>
        <v/>
      </c>
      <c r="AI100" s="9" t="str">
        <f aca="false">IF(Q100="","",IF(Z100="",Q100,IF(Q100=Z100,Q100,"DISCUSS")))</f>
        <v/>
      </c>
      <c r="AJ100" s="9" t="str">
        <f aca="false">IF(R100="","",IF(AA100="",R100,IF(R100=AA100,R100,"DISCUSS")))</f>
        <v/>
      </c>
      <c r="AK100" s="18" t="str">
        <f aca="false">IFERROR(AVERAGE(AB100:AJ100),"")</f>
        <v/>
      </c>
      <c r="AL100" s="9" t="n">
        <f aca="false">COUNT(AB100:AJ100)</f>
        <v>0</v>
      </c>
      <c r="AM100" s="9" t="n">
        <f aca="false">COUNTIF(AB100:AJ100,"DISCUSS")</f>
        <v>0</v>
      </c>
      <c r="AN100" s="9" t="str">
        <f aca="false">IF(AL100=0,"",IF(AM100&gt;0,"Resolve DISCUSS",IF(AL100&lt;Tiers!$B$6,"Unrated",IF(AK100&gt;=Tiers!$B$4,"High",IF(AK100&gt;=Tiers!$B$5,"Medium","Low")))))</f>
        <v/>
      </c>
      <c r="AO100" s="9" t="str">
        <f aca="false">IF(OR(AN100="",AN100="Unrated",AN100="Resolve DISCUSS"),"",COUNTIFS($AN$6:$AN$105,AN100,$AK$6:$AK$105,"&gt;"&amp;AK100)+1)</f>
        <v/>
      </c>
      <c r="AP100" s="12"/>
    </row>
    <row r="101" customFormat="false" ht="15" hidden="false" customHeight="false" outlineLevel="0" collapsed="false">
      <c r="A101" s="15"/>
      <c r="B101" s="3"/>
      <c r="C101" s="16"/>
      <c r="D101" s="16"/>
      <c r="E101" s="12"/>
      <c r="F101" s="17"/>
      <c r="G101" s="17"/>
      <c r="H101" s="12"/>
      <c r="I101" s="17"/>
      <c r="J101" s="17"/>
      <c r="K101" s="17"/>
      <c r="L101" s="17"/>
      <c r="M101" s="17"/>
      <c r="N101" s="17"/>
      <c r="O101" s="17"/>
      <c r="P101" s="17"/>
      <c r="Q101" s="17"/>
      <c r="R101" s="17"/>
      <c r="S101" s="17"/>
      <c r="T101" s="17"/>
      <c r="U101" s="17"/>
      <c r="V101" s="17"/>
      <c r="W101" s="17"/>
      <c r="X101" s="17"/>
      <c r="Y101" s="17"/>
      <c r="Z101" s="17"/>
      <c r="AA101" s="17"/>
      <c r="AB101" s="9" t="str">
        <f aca="false">IF(J101="","",IF(S101="",J101,IF(J101=S101,J101,"DISCUSS")))</f>
        <v/>
      </c>
      <c r="AC101" s="9" t="str">
        <f aca="false">IF(K101="","",IF(T101="",K101,IF(K101=T101,K101,"DISCUSS")))</f>
        <v/>
      </c>
      <c r="AD101" s="9" t="str">
        <f aca="false">IF(L101="","",IF(U101="",L101,IF(L101=U101,L101,"DISCUSS")))</f>
        <v/>
      </c>
      <c r="AE101" s="9" t="str">
        <f aca="false">IF(M101="","",IF(V101="",M101,IF(M101=V101,M101,"DISCUSS")))</f>
        <v/>
      </c>
      <c r="AF101" s="9" t="str">
        <f aca="false">IF(N101="","",IF(W101="",N101,IF(N101=W101,N101,"DISCUSS")))</f>
        <v/>
      </c>
      <c r="AG101" s="9" t="str">
        <f aca="false">IF(O101="","",IF(X101="",O101,IF(O101=X101,O101,"DISCUSS")))</f>
        <v/>
      </c>
      <c r="AH101" s="9" t="str">
        <f aca="false">IF(P101="","",IF(Y101="",P101,IF(P101=Y101,P101,"DISCUSS")))</f>
        <v/>
      </c>
      <c r="AI101" s="9" t="str">
        <f aca="false">IF(Q101="","",IF(Z101="",Q101,IF(Q101=Z101,Q101,"DISCUSS")))</f>
        <v/>
      </c>
      <c r="AJ101" s="9" t="str">
        <f aca="false">IF(R101="","",IF(AA101="",R101,IF(R101=AA101,R101,"DISCUSS")))</f>
        <v/>
      </c>
      <c r="AK101" s="18" t="str">
        <f aca="false">IFERROR(AVERAGE(AB101:AJ101),"")</f>
        <v/>
      </c>
      <c r="AL101" s="9" t="n">
        <f aca="false">COUNT(AB101:AJ101)</f>
        <v>0</v>
      </c>
      <c r="AM101" s="9" t="n">
        <f aca="false">COUNTIF(AB101:AJ101,"DISCUSS")</f>
        <v>0</v>
      </c>
      <c r="AN101" s="9" t="str">
        <f aca="false">IF(AL101=0,"",IF(AM101&gt;0,"Resolve DISCUSS",IF(AL101&lt;Tiers!$B$6,"Unrated",IF(AK101&gt;=Tiers!$B$4,"High",IF(AK101&gt;=Tiers!$B$5,"Medium","Low")))))</f>
        <v/>
      </c>
      <c r="AO101" s="9" t="str">
        <f aca="false">IF(OR(AN101="",AN101="Unrated",AN101="Resolve DISCUSS"),"",COUNTIFS($AN$6:$AN$105,AN101,$AK$6:$AK$105,"&gt;"&amp;AK101)+1)</f>
        <v/>
      </c>
      <c r="AP101" s="12"/>
    </row>
    <row r="102" customFormat="false" ht="15" hidden="false" customHeight="false" outlineLevel="0" collapsed="false">
      <c r="A102" s="15"/>
      <c r="B102" s="3"/>
      <c r="C102" s="16"/>
      <c r="D102" s="16"/>
      <c r="E102" s="12"/>
      <c r="F102" s="17"/>
      <c r="G102" s="17"/>
      <c r="H102" s="12"/>
      <c r="I102" s="17"/>
      <c r="J102" s="17"/>
      <c r="K102" s="17"/>
      <c r="L102" s="17"/>
      <c r="M102" s="17"/>
      <c r="N102" s="17"/>
      <c r="O102" s="17"/>
      <c r="P102" s="17"/>
      <c r="Q102" s="17"/>
      <c r="R102" s="17"/>
      <c r="S102" s="17"/>
      <c r="T102" s="17"/>
      <c r="U102" s="17"/>
      <c r="V102" s="17"/>
      <c r="W102" s="17"/>
      <c r="X102" s="17"/>
      <c r="Y102" s="17"/>
      <c r="Z102" s="17"/>
      <c r="AA102" s="17"/>
      <c r="AB102" s="9" t="str">
        <f aca="false">IF(J102="","",IF(S102="",J102,IF(J102=S102,J102,"DISCUSS")))</f>
        <v/>
      </c>
      <c r="AC102" s="9" t="str">
        <f aca="false">IF(K102="","",IF(T102="",K102,IF(K102=T102,K102,"DISCUSS")))</f>
        <v/>
      </c>
      <c r="AD102" s="9" t="str">
        <f aca="false">IF(L102="","",IF(U102="",L102,IF(L102=U102,L102,"DISCUSS")))</f>
        <v/>
      </c>
      <c r="AE102" s="9" t="str">
        <f aca="false">IF(M102="","",IF(V102="",M102,IF(M102=V102,M102,"DISCUSS")))</f>
        <v/>
      </c>
      <c r="AF102" s="9" t="str">
        <f aca="false">IF(N102="","",IF(W102="",N102,IF(N102=W102,N102,"DISCUSS")))</f>
        <v/>
      </c>
      <c r="AG102" s="9" t="str">
        <f aca="false">IF(O102="","",IF(X102="",O102,IF(O102=X102,O102,"DISCUSS")))</f>
        <v/>
      </c>
      <c r="AH102" s="9" t="str">
        <f aca="false">IF(P102="","",IF(Y102="",P102,IF(P102=Y102,P102,"DISCUSS")))</f>
        <v/>
      </c>
      <c r="AI102" s="9" t="str">
        <f aca="false">IF(Q102="","",IF(Z102="",Q102,IF(Q102=Z102,Q102,"DISCUSS")))</f>
        <v/>
      </c>
      <c r="AJ102" s="9" t="str">
        <f aca="false">IF(R102="","",IF(AA102="",R102,IF(R102=AA102,R102,"DISCUSS")))</f>
        <v/>
      </c>
      <c r="AK102" s="18" t="str">
        <f aca="false">IFERROR(AVERAGE(AB102:AJ102),"")</f>
        <v/>
      </c>
      <c r="AL102" s="9" t="n">
        <f aca="false">COUNT(AB102:AJ102)</f>
        <v>0</v>
      </c>
      <c r="AM102" s="9" t="n">
        <f aca="false">COUNTIF(AB102:AJ102,"DISCUSS")</f>
        <v>0</v>
      </c>
      <c r="AN102" s="9" t="str">
        <f aca="false">IF(AL102=0,"",IF(AM102&gt;0,"Resolve DISCUSS",IF(AL102&lt;Tiers!$B$6,"Unrated",IF(AK102&gt;=Tiers!$B$4,"High",IF(AK102&gt;=Tiers!$B$5,"Medium","Low")))))</f>
        <v/>
      </c>
      <c r="AO102" s="9" t="str">
        <f aca="false">IF(OR(AN102="",AN102="Unrated",AN102="Resolve DISCUSS"),"",COUNTIFS($AN$6:$AN$105,AN102,$AK$6:$AK$105,"&gt;"&amp;AK102)+1)</f>
        <v/>
      </c>
      <c r="AP102" s="12"/>
    </row>
    <row r="103" customFormat="false" ht="15" hidden="false" customHeight="false" outlineLevel="0" collapsed="false">
      <c r="A103" s="15"/>
      <c r="B103" s="3"/>
      <c r="C103" s="16"/>
      <c r="D103" s="16"/>
      <c r="E103" s="12"/>
      <c r="F103" s="17"/>
      <c r="G103" s="17"/>
      <c r="H103" s="12"/>
      <c r="I103" s="17"/>
      <c r="J103" s="17"/>
      <c r="K103" s="17"/>
      <c r="L103" s="17"/>
      <c r="M103" s="17"/>
      <c r="N103" s="17"/>
      <c r="O103" s="17"/>
      <c r="P103" s="17"/>
      <c r="Q103" s="17"/>
      <c r="R103" s="17"/>
      <c r="S103" s="17"/>
      <c r="T103" s="17"/>
      <c r="U103" s="17"/>
      <c r="V103" s="17"/>
      <c r="W103" s="17"/>
      <c r="X103" s="17"/>
      <c r="Y103" s="17"/>
      <c r="Z103" s="17"/>
      <c r="AA103" s="17"/>
      <c r="AB103" s="9" t="str">
        <f aca="false">IF(J103="","",IF(S103="",J103,IF(J103=S103,J103,"DISCUSS")))</f>
        <v/>
      </c>
      <c r="AC103" s="9" t="str">
        <f aca="false">IF(K103="","",IF(T103="",K103,IF(K103=T103,K103,"DISCUSS")))</f>
        <v/>
      </c>
      <c r="AD103" s="9" t="str">
        <f aca="false">IF(L103="","",IF(U103="",L103,IF(L103=U103,L103,"DISCUSS")))</f>
        <v/>
      </c>
      <c r="AE103" s="9" t="str">
        <f aca="false">IF(M103="","",IF(V103="",M103,IF(M103=V103,M103,"DISCUSS")))</f>
        <v/>
      </c>
      <c r="AF103" s="9" t="str">
        <f aca="false">IF(N103="","",IF(W103="",N103,IF(N103=W103,N103,"DISCUSS")))</f>
        <v/>
      </c>
      <c r="AG103" s="9" t="str">
        <f aca="false">IF(O103="","",IF(X103="",O103,IF(O103=X103,O103,"DISCUSS")))</f>
        <v/>
      </c>
      <c r="AH103" s="9" t="str">
        <f aca="false">IF(P103="","",IF(Y103="",P103,IF(P103=Y103,P103,"DISCUSS")))</f>
        <v/>
      </c>
      <c r="AI103" s="9" t="str">
        <f aca="false">IF(Q103="","",IF(Z103="",Q103,IF(Q103=Z103,Q103,"DISCUSS")))</f>
        <v/>
      </c>
      <c r="AJ103" s="9" t="str">
        <f aca="false">IF(R103="","",IF(AA103="",R103,IF(R103=AA103,R103,"DISCUSS")))</f>
        <v/>
      </c>
      <c r="AK103" s="18" t="str">
        <f aca="false">IFERROR(AVERAGE(AB103:AJ103),"")</f>
        <v/>
      </c>
      <c r="AL103" s="9" t="n">
        <f aca="false">COUNT(AB103:AJ103)</f>
        <v>0</v>
      </c>
      <c r="AM103" s="9" t="n">
        <f aca="false">COUNTIF(AB103:AJ103,"DISCUSS")</f>
        <v>0</v>
      </c>
      <c r="AN103" s="9" t="str">
        <f aca="false">IF(AL103=0,"",IF(AM103&gt;0,"Resolve DISCUSS",IF(AL103&lt;Tiers!$B$6,"Unrated",IF(AK103&gt;=Tiers!$B$4,"High",IF(AK103&gt;=Tiers!$B$5,"Medium","Low")))))</f>
        <v/>
      </c>
      <c r="AO103" s="9" t="str">
        <f aca="false">IF(OR(AN103="",AN103="Unrated",AN103="Resolve DISCUSS"),"",COUNTIFS($AN$6:$AN$105,AN103,$AK$6:$AK$105,"&gt;"&amp;AK103)+1)</f>
        <v/>
      </c>
      <c r="AP103" s="12"/>
    </row>
    <row r="104" customFormat="false" ht="15" hidden="false" customHeight="false" outlineLevel="0" collapsed="false">
      <c r="A104" s="15"/>
      <c r="B104" s="3"/>
      <c r="C104" s="16"/>
      <c r="D104" s="16"/>
      <c r="E104" s="12"/>
      <c r="F104" s="17"/>
      <c r="G104" s="17"/>
      <c r="H104" s="12"/>
      <c r="I104" s="17"/>
      <c r="J104" s="17"/>
      <c r="K104" s="17"/>
      <c r="L104" s="17"/>
      <c r="M104" s="17"/>
      <c r="N104" s="17"/>
      <c r="O104" s="17"/>
      <c r="P104" s="17"/>
      <c r="Q104" s="17"/>
      <c r="R104" s="17"/>
      <c r="S104" s="17"/>
      <c r="T104" s="17"/>
      <c r="U104" s="17"/>
      <c r="V104" s="17"/>
      <c r="W104" s="17"/>
      <c r="X104" s="17"/>
      <c r="Y104" s="17"/>
      <c r="Z104" s="17"/>
      <c r="AA104" s="17"/>
      <c r="AB104" s="9" t="str">
        <f aca="false">IF(J104="","",IF(S104="",J104,IF(J104=S104,J104,"DISCUSS")))</f>
        <v/>
      </c>
      <c r="AC104" s="9" t="str">
        <f aca="false">IF(K104="","",IF(T104="",K104,IF(K104=T104,K104,"DISCUSS")))</f>
        <v/>
      </c>
      <c r="AD104" s="9" t="str">
        <f aca="false">IF(L104="","",IF(U104="",L104,IF(L104=U104,L104,"DISCUSS")))</f>
        <v/>
      </c>
      <c r="AE104" s="9" t="str">
        <f aca="false">IF(M104="","",IF(V104="",M104,IF(M104=V104,M104,"DISCUSS")))</f>
        <v/>
      </c>
      <c r="AF104" s="9" t="str">
        <f aca="false">IF(N104="","",IF(W104="",N104,IF(N104=W104,N104,"DISCUSS")))</f>
        <v/>
      </c>
      <c r="AG104" s="9" t="str">
        <f aca="false">IF(O104="","",IF(X104="",O104,IF(O104=X104,O104,"DISCUSS")))</f>
        <v/>
      </c>
      <c r="AH104" s="9" t="str">
        <f aca="false">IF(P104="","",IF(Y104="",P104,IF(P104=Y104,P104,"DISCUSS")))</f>
        <v/>
      </c>
      <c r="AI104" s="9" t="str">
        <f aca="false">IF(Q104="","",IF(Z104="",Q104,IF(Q104=Z104,Q104,"DISCUSS")))</f>
        <v/>
      </c>
      <c r="AJ104" s="9" t="str">
        <f aca="false">IF(R104="","",IF(AA104="",R104,IF(R104=AA104,R104,"DISCUSS")))</f>
        <v/>
      </c>
      <c r="AK104" s="18" t="str">
        <f aca="false">IFERROR(AVERAGE(AB104:AJ104),"")</f>
        <v/>
      </c>
      <c r="AL104" s="9" t="n">
        <f aca="false">COUNT(AB104:AJ104)</f>
        <v>0</v>
      </c>
      <c r="AM104" s="9" t="n">
        <f aca="false">COUNTIF(AB104:AJ104,"DISCUSS")</f>
        <v>0</v>
      </c>
      <c r="AN104" s="9" t="str">
        <f aca="false">IF(AL104=0,"",IF(AM104&gt;0,"Resolve DISCUSS",IF(AL104&lt;Tiers!$B$6,"Unrated",IF(AK104&gt;=Tiers!$B$4,"High",IF(AK104&gt;=Tiers!$B$5,"Medium","Low")))))</f>
        <v/>
      </c>
      <c r="AO104" s="9" t="str">
        <f aca="false">IF(OR(AN104="",AN104="Unrated",AN104="Resolve DISCUSS"),"",COUNTIFS($AN$6:$AN$105,AN104,$AK$6:$AK$105,"&gt;"&amp;AK104)+1)</f>
        <v/>
      </c>
      <c r="AP104" s="12"/>
    </row>
    <row r="105" customFormat="false" ht="15" hidden="false" customHeight="false" outlineLevel="0" collapsed="false">
      <c r="A105" s="15"/>
      <c r="B105" s="3"/>
      <c r="C105" s="16"/>
      <c r="D105" s="16"/>
      <c r="E105" s="12"/>
      <c r="F105" s="17"/>
      <c r="G105" s="17"/>
      <c r="H105" s="12"/>
      <c r="I105" s="17"/>
      <c r="J105" s="17"/>
      <c r="K105" s="17"/>
      <c r="L105" s="17"/>
      <c r="M105" s="17"/>
      <c r="N105" s="17"/>
      <c r="O105" s="17"/>
      <c r="P105" s="17"/>
      <c r="Q105" s="17"/>
      <c r="R105" s="17"/>
      <c r="S105" s="17"/>
      <c r="T105" s="17"/>
      <c r="U105" s="17"/>
      <c r="V105" s="17"/>
      <c r="W105" s="17"/>
      <c r="X105" s="17"/>
      <c r="Y105" s="17"/>
      <c r="Z105" s="17"/>
      <c r="AA105" s="17"/>
      <c r="AB105" s="9" t="str">
        <f aca="false">IF(J105="","",IF(S105="",J105,IF(J105=S105,J105,"DISCUSS")))</f>
        <v/>
      </c>
      <c r="AC105" s="9" t="str">
        <f aca="false">IF(K105="","",IF(T105="",K105,IF(K105=T105,K105,"DISCUSS")))</f>
        <v/>
      </c>
      <c r="AD105" s="9" t="str">
        <f aca="false">IF(L105="","",IF(U105="",L105,IF(L105=U105,L105,"DISCUSS")))</f>
        <v/>
      </c>
      <c r="AE105" s="9" t="str">
        <f aca="false">IF(M105="","",IF(V105="",M105,IF(M105=V105,M105,"DISCUSS")))</f>
        <v/>
      </c>
      <c r="AF105" s="9" t="str">
        <f aca="false">IF(N105="","",IF(W105="",N105,IF(N105=W105,N105,"DISCUSS")))</f>
        <v/>
      </c>
      <c r="AG105" s="9" t="str">
        <f aca="false">IF(O105="","",IF(X105="",O105,IF(O105=X105,O105,"DISCUSS")))</f>
        <v/>
      </c>
      <c r="AH105" s="9" t="str">
        <f aca="false">IF(P105="","",IF(Y105="",P105,IF(P105=Y105,P105,"DISCUSS")))</f>
        <v/>
      </c>
      <c r="AI105" s="9" t="str">
        <f aca="false">IF(Q105="","",IF(Z105="",Q105,IF(Q105=Z105,Q105,"DISCUSS")))</f>
        <v/>
      </c>
      <c r="AJ105" s="9" t="str">
        <f aca="false">IF(R105="","",IF(AA105="",R105,IF(R105=AA105,R105,"DISCUSS")))</f>
        <v/>
      </c>
      <c r="AK105" s="18" t="str">
        <f aca="false">IFERROR(AVERAGE(AB105:AJ105),"")</f>
        <v/>
      </c>
      <c r="AL105" s="9" t="n">
        <f aca="false">COUNT(AB105:AJ105)</f>
        <v>0</v>
      </c>
      <c r="AM105" s="9" t="n">
        <f aca="false">COUNTIF(AB105:AJ105,"DISCUSS")</f>
        <v>0</v>
      </c>
      <c r="AN105" s="9" t="str">
        <f aca="false">IF(AL105=0,"",IF(AM105&gt;0,"Resolve DISCUSS",IF(AL105&lt;Tiers!$B$6,"Unrated",IF(AK105&gt;=Tiers!$B$4,"High",IF(AK105&gt;=Tiers!$B$5,"Medium","Low")))))</f>
        <v/>
      </c>
      <c r="AO105" s="9" t="str">
        <f aca="false">IF(OR(AN105="",AN105="Unrated",AN105="Resolve DISCUSS"),"",COUNTIFS($AN$6:$AN$105,AN105,$AK$6:$AK$105,"&gt;"&amp;AK105)+1)</f>
        <v/>
      </c>
      <c r="AP105" s="12"/>
    </row>
  </sheetData>
  <dataValidations count="4">
    <dataValidation allowBlank="true" errorStyle="stop" operator="between" showDropDown="false" showErrorMessage="false" showInputMessage="false" sqref="J6:AA105" type="list">
      <formula1>"0,1,2,NA"</formula1>
      <formula2>0</formula2>
    </dataValidation>
    <dataValidation allowBlank="true" errorStyle="stop" operator="between" showDropDown="false" showErrorMessage="false" showInputMessage="false" sqref="G6:G105" type="list">
      <formula1>Lists!$D$2:$D$6</formula1>
      <formula2>0</formula2>
    </dataValidation>
    <dataValidation allowBlank="true" errorStyle="stop" operator="between" showDropDown="false" showErrorMessage="false" showInputMessage="false" sqref="F6:F105" type="list">
      <formula1>Lists!$E$2:$E$4</formula1>
      <formula2>0</formula2>
    </dataValidation>
    <dataValidation allowBlank="true" errorStyle="stop" operator="between" showDropDown="false" showErrorMessage="false" showInputMessage="false" sqref="I6:I105" type="list">
      <formula1>Lists!$F$2:$F$4</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52"/>
    <col collapsed="false" customWidth="true" hidden="false" outlineLevel="0" max="3" min="3" style="0" width="7"/>
    <col collapsed="false" customWidth="true" hidden="false" outlineLevel="0" max="4" min="4" style="0" width="14"/>
    <col collapsed="false" customWidth="true" hidden="false" outlineLevel="0" max="6" min="5" style="0" width="18"/>
    <col collapsed="false" customWidth="true" hidden="false" outlineLevel="0" max="7" min="7" style="0" width="28"/>
    <col collapsed="false" customWidth="true" hidden="false" outlineLevel="0" max="19" min="8" style="0" width="7"/>
    <col collapsed="false" customWidth="true" hidden="false" outlineLevel="0" max="22" min="20" style="0" width="10"/>
    <col collapsed="false" customWidth="true" hidden="false" outlineLevel="0" max="23" min="23" style="0" width="16"/>
    <col collapsed="false" customWidth="true" hidden="false" outlineLevel="0" max="24" min="24" style="0" width="46"/>
  </cols>
  <sheetData>
    <row r="1" customFormat="false" ht="17.35" hidden="false" customHeight="false" outlineLevel="0" collapsed="false">
      <c r="A1" s="1" t="s">
        <v>733</v>
      </c>
    </row>
    <row r="2" customFormat="false" ht="15" hidden="false" customHeight="false" outlineLevel="0" collapsed="false">
      <c r="A2" s="7" t="s">
        <v>734</v>
      </c>
    </row>
    <row r="4" customFormat="false" ht="23.85" hidden="false" customHeight="false" outlineLevel="0" collapsed="false">
      <c r="A4" s="13" t="s">
        <v>681</v>
      </c>
      <c r="B4" s="14"/>
      <c r="C4" s="14"/>
      <c r="D4" s="14"/>
      <c r="E4" s="14"/>
      <c r="F4" s="14"/>
      <c r="G4" s="14"/>
      <c r="H4" s="13" t="s">
        <v>682</v>
      </c>
      <c r="I4" s="14"/>
      <c r="J4" s="14"/>
      <c r="K4" s="14"/>
      <c r="L4" s="13" t="s">
        <v>683</v>
      </c>
      <c r="M4" s="14"/>
      <c r="N4" s="14"/>
      <c r="O4" s="14"/>
      <c r="P4" s="13" t="s">
        <v>735</v>
      </c>
      <c r="Q4" s="14"/>
      <c r="R4" s="14"/>
      <c r="S4" s="14"/>
      <c r="T4" s="13" t="s">
        <v>685</v>
      </c>
      <c r="U4" s="14"/>
      <c r="V4" s="14"/>
      <c r="W4" s="14"/>
      <c r="X4" s="13" t="s">
        <v>65</v>
      </c>
    </row>
    <row r="5" customFormat="false" ht="75" hidden="false" customHeight="true" outlineLevel="0" collapsed="false">
      <c r="A5" s="5" t="s">
        <v>607</v>
      </c>
      <c r="B5" s="5" t="s">
        <v>608</v>
      </c>
      <c r="C5" s="5" t="s">
        <v>59</v>
      </c>
      <c r="D5" s="5" t="s">
        <v>686</v>
      </c>
      <c r="E5" s="5" t="s">
        <v>736</v>
      </c>
      <c r="F5" s="5" t="s">
        <v>737</v>
      </c>
      <c r="G5" s="5" t="s">
        <v>26</v>
      </c>
      <c r="H5" s="5" t="s">
        <v>738</v>
      </c>
      <c r="I5" s="5" t="s">
        <v>739</v>
      </c>
      <c r="J5" s="5" t="s">
        <v>740</v>
      </c>
      <c r="K5" s="5" t="s">
        <v>698</v>
      </c>
      <c r="L5" s="5" t="s">
        <v>741</v>
      </c>
      <c r="M5" s="5" t="s">
        <v>742</v>
      </c>
      <c r="N5" s="5" t="s">
        <v>743</v>
      </c>
      <c r="O5" s="5" t="s">
        <v>707</v>
      </c>
      <c r="P5" s="5" t="s">
        <v>744</v>
      </c>
      <c r="Q5" s="5" t="s">
        <v>745</v>
      </c>
      <c r="R5" s="5" t="s">
        <v>746</v>
      </c>
      <c r="S5" s="5" t="s">
        <v>716</v>
      </c>
      <c r="T5" s="5" t="s">
        <v>718</v>
      </c>
      <c r="U5" s="5" t="s">
        <v>719</v>
      </c>
      <c r="V5" s="5" t="s">
        <v>720</v>
      </c>
      <c r="W5" s="5" t="s">
        <v>721</v>
      </c>
      <c r="X5" s="5" t="s">
        <v>65</v>
      </c>
    </row>
    <row r="6" customFormat="false" ht="23.85" hidden="false" customHeight="false" outlineLevel="0" collapsed="false">
      <c r="A6" s="15" t="s">
        <v>86</v>
      </c>
      <c r="B6" s="3" t="s">
        <v>87</v>
      </c>
      <c r="C6" s="16" t="n">
        <v>2023</v>
      </c>
      <c r="D6" s="16" t="s">
        <v>88</v>
      </c>
      <c r="E6" s="12" t="s">
        <v>747</v>
      </c>
      <c r="F6" s="17" t="s">
        <v>724</v>
      </c>
      <c r="G6" s="17" t="s">
        <v>748</v>
      </c>
      <c r="H6" s="17"/>
      <c r="I6" s="17"/>
      <c r="J6" s="17"/>
      <c r="K6" s="17"/>
      <c r="L6" s="17"/>
      <c r="M6" s="17"/>
      <c r="N6" s="17"/>
      <c r="O6" s="17"/>
      <c r="P6" s="9" t="str">
        <f aca="false">IF(H6="","",IF(L6="",H6,IF(H6=L6,H6,"DISCUSS")))</f>
        <v/>
      </c>
      <c r="Q6" s="9" t="str">
        <f aca="false">IF(I6="","",IF(M6="",I6,IF(I6=M6,I6,"DISCUSS")))</f>
        <v/>
      </c>
      <c r="R6" s="9" t="str">
        <f aca="false">IF(J6="","",IF(N6="",J6,IF(J6=N6,J6,"DISCUSS")))</f>
        <v/>
      </c>
      <c r="S6" s="9" t="str">
        <f aca="false">IF(K6="","",IF(O6="",K6,IF(K6=O6,K6,"DISCUSS")))</f>
        <v/>
      </c>
      <c r="T6" s="18" t="str">
        <f aca="false">IFERROR(AVERAGE(P6:S6),"")</f>
        <v/>
      </c>
      <c r="U6" s="9" t="n">
        <f aca="false">COUNT(P6:S6)</f>
        <v>0</v>
      </c>
      <c r="V6" s="9" t="n">
        <f aca="false">COUNTIF(P6:S6,"DISCUSS")</f>
        <v>0</v>
      </c>
      <c r="W6" s="9" t="str">
        <f aca="false">IF(U6=0,"",IF(V6&gt;0,"Resolve DISCUSS",IF(U6&lt;Tiers!$B$7,"Unrated",IF(T6&gt;=Tiers!$B$4,"High",IF(T6&gt;=Tiers!$B$5,"Medium","Low")))))</f>
        <v/>
      </c>
      <c r="X6" s="12"/>
    </row>
    <row r="7" customFormat="false" ht="23.85" hidden="false" customHeight="false" outlineLevel="0" collapsed="false">
      <c r="A7" s="15" t="s">
        <v>92</v>
      </c>
      <c r="B7" s="3" t="s">
        <v>93</v>
      </c>
      <c r="C7" s="16" t="n">
        <v>2026</v>
      </c>
      <c r="D7" s="16" t="s">
        <v>88</v>
      </c>
      <c r="E7" s="12"/>
      <c r="F7" s="17" t="s">
        <v>724</v>
      </c>
      <c r="G7" s="17" t="s">
        <v>731</v>
      </c>
      <c r="H7" s="17"/>
      <c r="I7" s="17"/>
      <c r="J7" s="17"/>
      <c r="K7" s="17"/>
      <c r="L7" s="17"/>
      <c r="M7" s="17"/>
      <c r="N7" s="17"/>
      <c r="O7" s="17"/>
      <c r="P7" s="9" t="str">
        <f aca="false">IF(H7="","",IF(L7="",H7,IF(H7=L7,H7,"DISCUSS")))</f>
        <v/>
      </c>
      <c r="Q7" s="9" t="str">
        <f aca="false">IF(I7="","",IF(M7="",I7,IF(I7=M7,I7,"DISCUSS")))</f>
        <v/>
      </c>
      <c r="R7" s="9" t="str">
        <f aca="false">IF(J7="","",IF(N7="",J7,IF(J7=N7,J7,"DISCUSS")))</f>
        <v/>
      </c>
      <c r="S7" s="9" t="str">
        <f aca="false">IF(K7="","",IF(O7="",K7,IF(K7=O7,K7,"DISCUSS")))</f>
        <v/>
      </c>
      <c r="T7" s="18" t="str">
        <f aca="false">IFERROR(AVERAGE(P7:S7),"")</f>
        <v/>
      </c>
      <c r="U7" s="9" t="n">
        <f aca="false">COUNT(P7:S7)</f>
        <v>0</v>
      </c>
      <c r="V7" s="9" t="n">
        <f aca="false">COUNTIF(P7:S7,"DISCUSS")</f>
        <v>0</v>
      </c>
      <c r="W7" s="9" t="str">
        <f aca="false">IF(U7=0,"",IF(V7&gt;0,"Resolve DISCUSS",IF(U7&lt;Tiers!$B$7,"Unrated",IF(T7&gt;=Tiers!$B$4,"High",IF(T7&gt;=Tiers!$B$5,"Medium","Low")))))</f>
        <v/>
      </c>
      <c r="X7" s="12"/>
    </row>
    <row r="8" customFormat="false" ht="23.85" hidden="false" customHeight="false" outlineLevel="0" collapsed="false">
      <c r="A8" s="15" t="s">
        <v>95</v>
      </c>
      <c r="B8" s="3" t="s">
        <v>96</v>
      </c>
      <c r="C8" s="16" t="n">
        <v>2025</v>
      </c>
      <c r="D8" s="16" t="s">
        <v>88</v>
      </c>
      <c r="E8" s="12"/>
      <c r="F8" s="17" t="s">
        <v>118</v>
      </c>
      <c r="G8" s="17" t="s">
        <v>731</v>
      </c>
      <c r="H8" s="17"/>
      <c r="I8" s="17"/>
      <c r="J8" s="17"/>
      <c r="K8" s="17"/>
      <c r="L8" s="17"/>
      <c r="M8" s="17"/>
      <c r="N8" s="17"/>
      <c r="O8" s="17"/>
      <c r="P8" s="9" t="str">
        <f aca="false">IF(H8="","",IF(L8="",H8,IF(H8=L8,H8,"DISCUSS")))</f>
        <v/>
      </c>
      <c r="Q8" s="9" t="str">
        <f aca="false">IF(I8="","",IF(M8="",I8,IF(I8=M8,I8,"DISCUSS")))</f>
        <v/>
      </c>
      <c r="R8" s="9" t="str">
        <f aca="false">IF(J8="","",IF(N8="",J8,IF(J8=N8,J8,"DISCUSS")))</f>
        <v/>
      </c>
      <c r="S8" s="9" t="str">
        <f aca="false">IF(K8="","",IF(O8="",K8,IF(K8=O8,K8,"DISCUSS")))</f>
        <v/>
      </c>
      <c r="T8" s="18" t="str">
        <f aca="false">IFERROR(AVERAGE(P8:S8),"")</f>
        <v/>
      </c>
      <c r="U8" s="9" t="n">
        <f aca="false">COUNT(P8:S8)</f>
        <v>0</v>
      </c>
      <c r="V8" s="9" t="n">
        <f aca="false">COUNTIF(P8:S8,"DISCUSS")</f>
        <v>0</v>
      </c>
      <c r="W8" s="9" t="str">
        <f aca="false">IF(U8=0,"",IF(V8&gt;0,"Resolve DISCUSS",IF(U8&lt;Tiers!$B$7,"Unrated",IF(T8&gt;=Tiers!$B$4,"High",IF(T8&gt;=Tiers!$B$5,"Medium","Low")))))</f>
        <v/>
      </c>
      <c r="X8" s="12"/>
    </row>
    <row r="9" customFormat="false" ht="23.85" hidden="false" customHeight="false" outlineLevel="0" collapsed="false">
      <c r="A9" s="15" t="s">
        <v>97</v>
      </c>
      <c r="B9" s="3" t="s">
        <v>98</v>
      </c>
      <c r="C9" s="16" t="n">
        <v>2023</v>
      </c>
      <c r="D9" s="16" t="s">
        <v>88</v>
      </c>
      <c r="E9" s="12"/>
      <c r="F9" s="17" t="s">
        <v>724</v>
      </c>
      <c r="G9" s="17" t="s">
        <v>731</v>
      </c>
      <c r="H9" s="17"/>
      <c r="I9" s="17"/>
      <c r="J9" s="17"/>
      <c r="K9" s="17"/>
      <c r="L9" s="17"/>
      <c r="M9" s="17"/>
      <c r="N9" s="17"/>
      <c r="O9" s="17"/>
      <c r="P9" s="9" t="str">
        <f aca="false">IF(H9="","",IF(L9="",H9,IF(H9=L9,H9,"DISCUSS")))</f>
        <v/>
      </c>
      <c r="Q9" s="9" t="str">
        <f aca="false">IF(I9="","",IF(M9="",I9,IF(I9=M9,I9,"DISCUSS")))</f>
        <v/>
      </c>
      <c r="R9" s="9" t="str">
        <f aca="false">IF(J9="","",IF(N9="",J9,IF(J9=N9,J9,"DISCUSS")))</f>
        <v/>
      </c>
      <c r="S9" s="9" t="str">
        <f aca="false">IF(K9="","",IF(O9="",K9,IF(K9=O9,K9,"DISCUSS")))</f>
        <v/>
      </c>
      <c r="T9" s="18" t="str">
        <f aca="false">IFERROR(AVERAGE(P9:S9),"")</f>
        <v/>
      </c>
      <c r="U9" s="9" t="n">
        <f aca="false">COUNT(P9:S9)</f>
        <v>0</v>
      </c>
      <c r="V9" s="9" t="n">
        <f aca="false">COUNTIF(P9:S9,"DISCUSS")</f>
        <v>0</v>
      </c>
      <c r="W9" s="9" t="str">
        <f aca="false">IF(U9=0,"",IF(V9&gt;0,"Resolve DISCUSS",IF(U9&lt;Tiers!$B$7,"Unrated",IF(T9&gt;=Tiers!$B$4,"High",IF(T9&gt;=Tiers!$B$5,"Medium","Low")))))</f>
        <v/>
      </c>
      <c r="X9" s="12"/>
    </row>
    <row r="10" customFormat="false" ht="23.85" hidden="false" customHeight="false" outlineLevel="0" collapsed="false">
      <c r="A10" s="15" t="s">
        <v>105</v>
      </c>
      <c r="B10" s="3" t="s">
        <v>106</v>
      </c>
      <c r="C10" s="16" t="n">
        <v>2023</v>
      </c>
      <c r="D10" s="16" t="s">
        <v>88</v>
      </c>
      <c r="E10" s="12"/>
      <c r="F10" s="17" t="s">
        <v>724</v>
      </c>
      <c r="G10" s="17" t="s">
        <v>731</v>
      </c>
      <c r="H10" s="17"/>
      <c r="I10" s="17"/>
      <c r="J10" s="17"/>
      <c r="K10" s="17"/>
      <c r="L10" s="17"/>
      <c r="M10" s="17"/>
      <c r="N10" s="17"/>
      <c r="O10" s="17"/>
      <c r="P10" s="9" t="str">
        <f aca="false">IF(H10="","",IF(L10="",H10,IF(H10=L10,H10,"DISCUSS")))</f>
        <v/>
      </c>
      <c r="Q10" s="9" t="str">
        <f aca="false">IF(I10="","",IF(M10="",I10,IF(I10=M10,I10,"DISCUSS")))</f>
        <v/>
      </c>
      <c r="R10" s="9" t="str">
        <f aca="false">IF(J10="","",IF(N10="",J10,IF(J10=N10,J10,"DISCUSS")))</f>
        <v/>
      </c>
      <c r="S10" s="9" t="str">
        <f aca="false">IF(K10="","",IF(O10="",K10,IF(K10=O10,K10,"DISCUSS")))</f>
        <v/>
      </c>
      <c r="T10" s="18" t="str">
        <f aca="false">IFERROR(AVERAGE(P10:S10),"")</f>
        <v/>
      </c>
      <c r="U10" s="9" t="n">
        <f aca="false">COUNT(P10:S10)</f>
        <v>0</v>
      </c>
      <c r="V10" s="9" t="n">
        <f aca="false">COUNTIF(P10:S10,"DISCUSS")</f>
        <v>0</v>
      </c>
      <c r="W10" s="9" t="str">
        <f aca="false">IF(U10=0,"",IF(V10&gt;0,"Resolve DISCUSS",IF(U10&lt;Tiers!$B$7,"Unrated",IF(T10&gt;=Tiers!$B$4,"High",IF(T10&gt;=Tiers!$B$5,"Medium","Low")))))</f>
        <v/>
      </c>
      <c r="X10" s="12"/>
    </row>
    <row r="11" customFormat="false" ht="23.85" hidden="false" customHeight="false" outlineLevel="0" collapsed="false">
      <c r="A11" s="15" t="s">
        <v>158</v>
      </c>
      <c r="B11" s="3" t="s">
        <v>159</v>
      </c>
      <c r="C11" s="16" t="n">
        <v>2024</v>
      </c>
      <c r="D11" s="16" t="s">
        <v>88</v>
      </c>
      <c r="E11" s="12"/>
      <c r="F11" s="17" t="s">
        <v>724</v>
      </c>
      <c r="G11" s="17" t="s">
        <v>731</v>
      </c>
      <c r="H11" s="17"/>
      <c r="I11" s="17"/>
      <c r="J11" s="17"/>
      <c r="K11" s="17"/>
      <c r="L11" s="17"/>
      <c r="M11" s="17"/>
      <c r="N11" s="17"/>
      <c r="O11" s="17"/>
      <c r="P11" s="9" t="str">
        <f aca="false">IF(H11="","",IF(L11="",H11,IF(H11=L11,H11,"DISCUSS")))</f>
        <v/>
      </c>
      <c r="Q11" s="9" t="str">
        <f aca="false">IF(I11="","",IF(M11="",I11,IF(I11=M11,I11,"DISCUSS")))</f>
        <v/>
      </c>
      <c r="R11" s="9" t="str">
        <f aca="false">IF(J11="","",IF(N11="",J11,IF(J11=N11,J11,"DISCUSS")))</f>
        <v/>
      </c>
      <c r="S11" s="9" t="str">
        <f aca="false">IF(K11="","",IF(O11="",K11,IF(K11=O11,K11,"DISCUSS")))</f>
        <v/>
      </c>
      <c r="T11" s="18" t="str">
        <f aca="false">IFERROR(AVERAGE(P11:S11),"")</f>
        <v/>
      </c>
      <c r="U11" s="9" t="n">
        <f aca="false">COUNT(P11:S11)</f>
        <v>0</v>
      </c>
      <c r="V11" s="9" t="n">
        <f aca="false">COUNTIF(P11:S11,"DISCUSS")</f>
        <v>0</v>
      </c>
      <c r="W11" s="9" t="str">
        <f aca="false">IF(U11=0,"",IF(V11&gt;0,"Resolve DISCUSS",IF(U11&lt;Tiers!$B$7,"Unrated",IF(T11&gt;=Tiers!$B$4,"High",IF(T11&gt;=Tiers!$B$5,"Medium","Low")))))</f>
        <v/>
      </c>
      <c r="X11" s="12"/>
    </row>
    <row r="12" customFormat="false" ht="23.85" hidden="false" customHeight="false" outlineLevel="0" collapsed="false">
      <c r="A12" s="15" t="s">
        <v>337</v>
      </c>
      <c r="B12" s="3" t="s">
        <v>338</v>
      </c>
      <c r="C12" s="16" t="n">
        <v>2025</v>
      </c>
      <c r="D12" s="16" t="s">
        <v>88</v>
      </c>
      <c r="E12" s="12"/>
      <c r="F12" s="17" t="s">
        <v>118</v>
      </c>
      <c r="G12" s="17" t="s">
        <v>731</v>
      </c>
      <c r="H12" s="17"/>
      <c r="I12" s="17"/>
      <c r="J12" s="17"/>
      <c r="K12" s="17"/>
      <c r="L12" s="17"/>
      <c r="M12" s="17"/>
      <c r="N12" s="17"/>
      <c r="O12" s="17"/>
      <c r="P12" s="9" t="str">
        <f aca="false">IF(H12="","",IF(L12="",H12,IF(H12=L12,H12,"DISCUSS")))</f>
        <v/>
      </c>
      <c r="Q12" s="9" t="str">
        <f aca="false">IF(I12="","",IF(M12="",I12,IF(I12=M12,I12,"DISCUSS")))</f>
        <v/>
      </c>
      <c r="R12" s="9" t="str">
        <f aca="false">IF(J12="","",IF(N12="",J12,IF(J12=N12,J12,"DISCUSS")))</f>
        <v/>
      </c>
      <c r="S12" s="9" t="str">
        <f aca="false">IF(K12="","",IF(O12="",K12,IF(K12=O12,K12,"DISCUSS")))</f>
        <v/>
      </c>
      <c r="T12" s="18" t="str">
        <f aca="false">IFERROR(AVERAGE(P12:S12),"")</f>
        <v/>
      </c>
      <c r="U12" s="9" t="n">
        <f aca="false">COUNT(P12:S12)</f>
        <v>0</v>
      </c>
      <c r="V12" s="9" t="n">
        <f aca="false">COUNTIF(P12:S12,"DISCUSS")</f>
        <v>0</v>
      </c>
      <c r="W12" s="9" t="str">
        <f aca="false">IF(U12=0,"",IF(V12&gt;0,"Resolve DISCUSS",IF(U12&lt;Tiers!$B$7,"Unrated",IF(T12&gt;=Tiers!$B$4,"High",IF(T12&gt;=Tiers!$B$5,"Medium","Low")))))</f>
        <v/>
      </c>
      <c r="X12" s="12"/>
    </row>
    <row r="13" customFormat="false" ht="23.85" hidden="false" customHeight="false" outlineLevel="0" collapsed="false">
      <c r="A13" s="15" t="s">
        <v>505</v>
      </c>
      <c r="B13" s="3" t="s">
        <v>506</v>
      </c>
      <c r="C13" s="16" t="n">
        <v>2025</v>
      </c>
      <c r="D13" s="16" t="s">
        <v>88</v>
      </c>
      <c r="E13" s="12"/>
      <c r="F13" s="17" t="s">
        <v>724</v>
      </c>
      <c r="G13" s="17" t="s">
        <v>731</v>
      </c>
      <c r="H13" s="17"/>
      <c r="I13" s="17"/>
      <c r="J13" s="17"/>
      <c r="K13" s="17"/>
      <c r="L13" s="17"/>
      <c r="M13" s="17"/>
      <c r="N13" s="17"/>
      <c r="O13" s="17"/>
      <c r="P13" s="9" t="str">
        <f aca="false">IF(H13="","",IF(L13="",H13,IF(H13=L13,H13,"DISCUSS")))</f>
        <v/>
      </c>
      <c r="Q13" s="9" t="str">
        <f aca="false">IF(I13="","",IF(M13="",I13,IF(I13=M13,I13,"DISCUSS")))</f>
        <v/>
      </c>
      <c r="R13" s="9" t="str">
        <f aca="false">IF(J13="","",IF(N13="",J13,IF(J13=N13,J13,"DISCUSS")))</f>
        <v/>
      </c>
      <c r="S13" s="9" t="str">
        <f aca="false">IF(K13="","",IF(O13="",K13,IF(K13=O13,K13,"DISCUSS")))</f>
        <v/>
      </c>
      <c r="T13" s="18" t="str">
        <f aca="false">IFERROR(AVERAGE(P13:S13),"")</f>
        <v/>
      </c>
      <c r="U13" s="9" t="n">
        <f aca="false">COUNT(P13:S13)</f>
        <v>0</v>
      </c>
      <c r="V13" s="9" t="n">
        <f aca="false">COUNTIF(P13:S13,"DISCUSS")</f>
        <v>0</v>
      </c>
      <c r="W13" s="9" t="str">
        <f aca="false">IF(U13=0,"",IF(V13&gt;0,"Resolve DISCUSS",IF(U13&lt;Tiers!$B$7,"Unrated",IF(T13&gt;=Tiers!$B$4,"High",IF(T13&gt;=Tiers!$B$5,"Medium","Low")))))</f>
        <v/>
      </c>
      <c r="X13" s="12"/>
    </row>
    <row r="14" customFormat="false" ht="23.85" hidden="false" customHeight="false" outlineLevel="0" collapsed="false">
      <c r="A14" s="15" t="s">
        <v>519</v>
      </c>
      <c r="B14" s="3" t="s">
        <v>520</v>
      </c>
      <c r="C14" s="16" t="n">
        <v>2026</v>
      </c>
      <c r="D14" s="16" t="s">
        <v>88</v>
      </c>
      <c r="E14" s="12"/>
      <c r="F14" s="17" t="s">
        <v>118</v>
      </c>
      <c r="G14" s="17" t="s">
        <v>731</v>
      </c>
      <c r="H14" s="17"/>
      <c r="I14" s="17"/>
      <c r="J14" s="17"/>
      <c r="K14" s="17"/>
      <c r="L14" s="17"/>
      <c r="M14" s="17"/>
      <c r="N14" s="17"/>
      <c r="O14" s="17"/>
      <c r="P14" s="9" t="str">
        <f aca="false">IF(H14="","",IF(L14="",H14,IF(H14=L14,H14,"DISCUSS")))</f>
        <v/>
      </c>
      <c r="Q14" s="9" t="str">
        <f aca="false">IF(I14="","",IF(M14="",I14,IF(I14=M14,I14,"DISCUSS")))</f>
        <v/>
      </c>
      <c r="R14" s="9" t="str">
        <f aca="false">IF(J14="","",IF(N14="",J14,IF(J14=N14,J14,"DISCUSS")))</f>
        <v/>
      </c>
      <c r="S14" s="9" t="str">
        <f aca="false">IF(K14="","",IF(O14="",K14,IF(K14=O14,K14,"DISCUSS")))</f>
        <v/>
      </c>
      <c r="T14" s="18" t="str">
        <f aca="false">IFERROR(AVERAGE(P14:S14),"")</f>
        <v/>
      </c>
      <c r="U14" s="9" t="n">
        <f aca="false">COUNT(P14:S14)</f>
        <v>0</v>
      </c>
      <c r="V14" s="9" t="n">
        <f aca="false">COUNTIF(P14:S14,"DISCUSS")</f>
        <v>0</v>
      </c>
      <c r="W14" s="9" t="str">
        <f aca="false">IF(U14=0,"",IF(V14&gt;0,"Resolve DISCUSS",IF(U14&lt;Tiers!$B$7,"Unrated",IF(T14&gt;=Tiers!$B$4,"High",IF(T14&gt;=Tiers!$B$5,"Medium","Low")))))</f>
        <v/>
      </c>
      <c r="X14" s="12"/>
    </row>
    <row r="15" customFormat="false" ht="23.85" hidden="false" customHeight="false" outlineLevel="0" collapsed="false">
      <c r="A15" s="15" t="s">
        <v>525</v>
      </c>
      <c r="B15" s="3" t="s">
        <v>526</v>
      </c>
      <c r="C15" s="16" t="n">
        <v>2023</v>
      </c>
      <c r="D15" s="16" t="s">
        <v>88</v>
      </c>
      <c r="E15" s="12"/>
      <c r="F15" s="17" t="s">
        <v>724</v>
      </c>
      <c r="G15" s="17" t="s">
        <v>731</v>
      </c>
      <c r="H15" s="17"/>
      <c r="I15" s="17"/>
      <c r="J15" s="17"/>
      <c r="K15" s="17"/>
      <c r="L15" s="17"/>
      <c r="M15" s="17"/>
      <c r="N15" s="17"/>
      <c r="O15" s="17"/>
      <c r="P15" s="9" t="str">
        <f aca="false">IF(H15="","",IF(L15="",H15,IF(H15=L15,H15,"DISCUSS")))</f>
        <v/>
      </c>
      <c r="Q15" s="9" t="str">
        <f aca="false">IF(I15="","",IF(M15="",I15,IF(I15=M15,I15,"DISCUSS")))</f>
        <v/>
      </c>
      <c r="R15" s="9" t="str">
        <f aca="false">IF(J15="","",IF(N15="",J15,IF(J15=N15,J15,"DISCUSS")))</f>
        <v/>
      </c>
      <c r="S15" s="9" t="str">
        <f aca="false">IF(K15="","",IF(O15="",K15,IF(K15=O15,K15,"DISCUSS")))</f>
        <v/>
      </c>
      <c r="T15" s="18" t="str">
        <f aca="false">IFERROR(AVERAGE(P15:S15),"")</f>
        <v/>
      </c>
      <c r="U15" s="9" t="n">
        <f aca="false">COUNT(P15:S15)</f>
        <v>0</v>
      </c>
      <c r="V15" s="9" t="n">
        <f aca="false">COUNTIF(P15:S15,"DISCUSS")</f>
        <v>0</v>
      </c>
      <c r="W15" s="9" t="str">
        <f aca="false">IF(U15=0,"",IF(V15&gt;0,"Resolve DISCUSS",IF(U15&lt;Tiers!$B$7,"Unrated",IF(T15&gt;=Tiers!$B$4,"High",IF(T15&gt;=Tiers!$B$5,"Medium","Low")))))</f>
        <v/>
      </c>
      <c r="X15" s="12"/>
    </row>
    <row r="16" customFormat="false" ht="23.85" hidden="false" customHeight="false" outlineLevel="0" collapsed="false">
      <c r="A16" s="15" t="s">
        <v>530</v>
      </c>
      <c r="B16" s="3" t="s">
        <v>531</v>
      </c>
      <c r="C16" s="16"/>
      <c r="D16" s="16" t="s">
        <v>532</v>
      </c>
      <c r="E16" s="12" t="s">
        <v>732</v>
      </c>
      <c r="F16" s="17" t="s">
        <v>749</v>
      </c>
      <c r="G16" s="17" t="s">
        <v>729</v>
      </c>
      <c r="H16" s="17"/>
      <c r="I16" s="17"/>
      <c r="J16" s="17"/>
      <c r="K16" s="17"/>
      <c r="L16" s="17"/>
      <c r="M16" s="17"/>
      <c r="N16" s="17"/>
      <c r="O16" s="17"/>
      <c r="P16" s="9" t="str">
        <f aca="false">IF(H16="","",IF(L16="",H16,IF(H16=L16,H16,"DISCUSS")))</f>
        <v/>
      </c>
      <c r="Q16" s="9" t="str">
        <f aca="false">IF(I16="","",IF(M16="",I16,IF(I16=M16,I16,"DISCUSS")))</f>
        <v/>
      </c>
      <c r="R16" s="9" t="str">
        <f aca="false">IF(J16="","",IF(N16="",J16,IF(J16=N16,J16,"DISCUSS")))</f>
        <v/>
      </c>
      <c r="S16" s="9" t="str">
        <f aca="false">IF(K16="","",IF(O16="",K16,IF(K16=O16,K16,"DISCUSS")))</f>
        <v/>
      </c>
      <c r="T16" s="18" t="str">
        <f aca="false">IFERROR(AVERAGE(P16:S16),"")</f>
        <v/>
      </c>
      <c r="U16" s="9" t="n">
        <f aca="false">COUNT(P16:S16)</f>
        <v>0</v>
      </c>
      <c r="V16" s="9" t="n">
        <f aca="false">COUNTIF(P16:S16,"DISCUSS")</f>
        <v>0</v>
      </c>
      <c r="W16" s="9" t="str">
        <f aca="false">IF(U16=0,"",IF(V16&gt;0,"Resolve DISCUSS",IF(U16&lt;Tiers!$B$7,"Unrated",IF(T16&gt;=Tiers!$B$4,"High",IF(T16&gt;=Tiers!$B$5,"Medium","Low")))))</f>
        <v/>
      </c>
      <c r="X16" s="12"/>
    </row>
    <row r="17" customFormat="false" ht="23.85" hidden="false" customHeight="false" outlineLevel="0" collapsed="false">
      <c r="A17" s="15" t="s">
        <v>536</v>
      </c>
      <c r="B17" s="3" t="s">
        <v>537</v>
      </c>
      <c r="C17" s="16"/>
      <c r="D17" s="16" t="s">
        <v>532</v>
      </c>
      <c r="E17" s="12" t="s">
        <v>732</v>
      </c>
      <c r="F17" s="17" t="s">
        <v>749</v>
      </c>
      <c r="G17" s="17" t="s">
        <v>729</v>
      </c>
      <c r="H17" s="17"/>
      <c r="I17" s="17"/>
      <c r="J17" s="17"/>
      <c r="K17" s="17"/>
      <c r="L17" s="17"/>
      <c r="M17" s="17"/>
      <c r="N17" s="17"/>
      <c r="O17" s="17"/>
      <c r="P17" s="9" t="str">
        <f aca="false">IF(H17="","",IF(L17="",H17,IF(H17=L17,H17,"DISCUSS")))</f>
        <v/>
      </c>
      <c r="Q17" s="9" t="str">
        <f aca="false">IF(I17="","",IF(M17="",I17,IF(I17=M17,I17,"DISCUSS")))</f>
        <v/>
      </c>
      <c r="R17" s="9" t="str">
        <f aca="false">IF(J17="","",IF(N17="",J17,IF(J17=N17,J17,"DISCUSS")))</f>
        <v/>
      </c>
      <c r="S17" s="9" t="str">
        <f aca="false">IF(K17="","",IF(O17="",K17,IF(K17=O17,K17,"DISCUSS")))</f>
        <v/>
      </c>
      <c r="T17" s="18" t="str">
        <f aca="false">IFERROR(AVERAGE(P17:S17),"")</f>
        <v/>
      </c>
      <c r="U17" s="9" t="n">
        <f aca="false">COUNT(P17:S17)</f>
        <v>0</v>
      </c>
      <c r="V17" s="9" t="n">
        <f aca="false">COUNTIF(P17:S17,"DISCUSS")</f>
        <v>0</v>
      </c>
      <c r="W17" s="9" t="str">
        <f aca="false">IF(U17=0,"",IF(V17&gt;0,"Resolve DISCUSS",IF(U17&lt;Tiers!$B$7,"Unrated",IF(T17&gt;=Tiers!$B$4,"High",IF(T17&gt;=Tiers!$B$5,"Medium","Low")))))</f>
        <v/>
      </c>
      <c r="X17" s="12"/>
    </row>
    <row r="18" customFormat="false" ht="23.85" hidden="false" customHeight="false" outlineLevel="0" collapsed="false">
      <c r="A18" s="15" t="s">
        <v>561</v>
      </c>
      <c r="B18" s="3" t="s">
        <v>562</v>
      </c>
      <c r="C18" s="16"/>
      <c r="D18" s="16" t="s">
        <v>532</v>
      </c>
      <c r="E18" s="12" t="s">
        <v>732</v>
      </c>
      <c r="F18" s="17" t="s">
        <v>749</v>
      </c>
      <c r="G18" s="17" t="s">
        <v>729</v>
      </c>
      <c r="H18" s="17"/>
      <c r="I18" s="17"/>
      <c r="J18" s="17"/>
      <c r="K18" s="17"/>
      <c r="L18" s="17"/>
      <c r="M18" s="17"/>
      <c r="N18" s="17"/>
      <c r="O18" s="17"/>
      <c r="P18" s="9" t="str">
        <f aca="false">IF(H18="","",IF(L18="",H18,IF(H18=L18,H18,"DISCUSS")))</f>
        <v/>
      </c>
      <c r="Q18" s="9" t="str">
        <f aca="false">IF(I18="","",IF(M18="",I18,IF(I18=M18,I18,"DISCUSS")))</f>
        <v/>
      </c>
      <c r="R18" s="9" t="str">
        <f aca="false">IF(J18="","",IF(N18="",J18,IF(J18=N18,J18,"DISCUSS")))</f>
        <v/>
      </c>
      <c r="S18" s="9" t="str">
        <f aca="false">IF(K18="","",IF(O18="",K18,IF(K18=O18,K18,"DISCUSS")))</f>
        <v/>
      </c>
      <c r="T18" s="18" t="str">
        <f aca="false">IFERROR(AVERAGE(P18:S18),"")</f>
        <v/>
      </c>
      <c r="U18" s="9" t="n">
        <f aca="false">COUNT(P18:S18)</f>
        <v>0</v>
      </c>
      <c r="V18" s="9" t="n">
        <f aca="false">COUNTIF(P18:S18,"DISCUSS")</f>
        <v>0</v>
      </c>
      <c r="W18" s="9" t="str">
        <f aca="false">IF(U18=0,"",IF(V18&gt;0,"Resolve DISCUSS",IF(U18&lt;Tiers!$B$7,"Unrated",IF(T18&gt;=Tiers!$B$4,"High",IF(T18&gt;=Tiers!$B$5,"Medium","Low")))))</f>
        <v/>
      </c>
      <c r="X18" s="12"/>
    </row>
    <row r="19" customFormat="false" ht="15" hidden="false" customHeight="false" outlineLevel="0" collapsed="false">
      <c r="A19" s="15"/>
      <c r="B19" s="3"/>
      <c r="C19" s="16"/>
      <c r="D19" s="16"/>
      <c r="E19" s="12"/>
      <c r="F19" s="17"/>
      <c r="G19" s="17"/>
      <c r="H19" s="17"/>
      <c r="I19" s="17"/>
      <c r="J19" s="17"/>
      <c r="K19" s="17"/>
      <c r="L19" s="17"/>
      <c r="M19" s="17"/>
      <c r="N19" s="17"/>
      <c r="O19" s="17"/>
      <c r="P19" s="9" t="str">
        <f aca="false">IF(H19="","",IF(L19="",H19,IF(H19=L19,H19,"DISCUSS")))</f>
        <v/>
      </c>
      <c r="Q19" s="9" t="str">
        <f aca="false">IF(I19="","",IF(M19="",I19,IF(I19=M19,I19,"DISCUSS")))</f>
        <v/>
      </c>
      <c r="R19" s="9" t="str">
        <f aca="false">IF(J19="","",IF(N19="",J19,IF(J19=N19,J19,"DISCUSS")))</f>
        <v/>
      </c>
      <c r="S19" s="9" t="str">
        <f aca="false">IF(K19="","",IF(O19="",K19,IF(K19=O19,K19,"DISCUSS")))</f>
        <v/>
      </c>
      <c r="T19" s="18" t="str">
        <f aca="false">IFERROR(AVERAGE(P19:S19),"")</f>
        <v/>
      </c>
      <c r="U19" s="9" t="n">
        <f aca="false">COUNT(P19:S19)</f>
        <v>0</v>
      </c>
      <c r="V19" s="9" t="n">
        <f aca="false">COUNTIF(P19:S19,"DISCUSS")</f>
        <v>0</v>
      </c>
      <c r="W19" s="9" t="str">
        <f aca="false">IF(U19=0,"",IF(V19&gt;0,"Resolve DISCUSS",IF(U19&lt;Tiers!$B$7,"Unrated",IF(T19&gt;=Tiers!$B$4,"High",IF(T19&gt;=Tiers!$B$5,"Medium","Low")))))</f>
        <v/>
      </c>
      <c r="X19" s="12"/>
    </row>
    <row r="20" customFormat="false" ht="15" hidden="false" customHeight="false" outlineLevel="0" collapsed="false">
      <c r="A20" s="15"/>
      <c r="B20" s="3"/>
      <c r="C20" s="16"/>
      <c r="D20" s="16"/>
      <c r="E20" s="12"/>
      <c r="F20" s="17"/>
      <c r="G20" s="17"/>
      <c r="H20" s="17"/>
      <c r="I20" s="17"/>
      <c r="J20" s="17"/>
      <c r="K20" s="17"/>
      <c r="L20" s="17"/>
      <c r="M20" s="17"/>
      <c r="N20" s="17"/>
      <c r="O20" s="17"/>
      <c r="P20" s="9" t="str">
        <f aca="false">IF(H20="","",IF(L20="",H20,IF(H20=L20,H20,"DISCUSS")))</f>
        <v/>
      </c>
      <c r="Q20" s="9" t="str">
        <f aca="false">IF(I20="","",IF(M20="",I20,IF(I20=M20,I20,"DISCUSS")))</f>
        <v/>
      </c>
      <c r="R20" s="9" t="str">
        <f aca="false">IF(J20="","",IF(N20="",J20,IF(J20=N20,J20,"DISCUSS")))</f>
        <v/>
      </c>
      <c r="S20" s="9" t="str">
        <f aca="false">IF(K20="","",IF(O20="",K20,IF(K20=O20,K20,"DISCUSS")))</f>
        <v/>
      </c>
      <c r="T20" s="18" t="str">
        <f aca="false">IFERROR(AVERAGE(P20:S20),"")</f>
        <v/>
      </c>
      <c r="U20" s="9" t="n">
        <f aca="false">COUNT(P20:S20)</f>
        <v>0</v>
      </c>
      <c r="V20" s="9" t="n">
        <f aca="false">COUNTIF(P20:S20,"DISCUSS")</f>
        <v>0</v>
      </c>
      <c r="W20" s="9" t="str">
        <f aca="false">IF(U20=0,"",IF(V20&gt;0,"Resolve DISCUSS",IF(U20&lt;Tiers!$B$7,"Unrated",IF(T20&gt;=Tiers!$B$4,"High",IF(T20&gt;=Tiers!$B$5,"Medium","Low")))))</f>
        <v/>
      </c>
      <c r="X20" s="12"/>
    </row>
    <row r="21" customFormat="false" ht="15" hidden="false" customHeight="false" outlineLevel="0" collapsed="false">
      <c r="A21" s="15"/>
      <c r="B21" s="3"/>
      <c r="C21" s="16"/>
      <c r="D21" s="16"/>
      <c r="E21" s="12"/>
      <c r="F21" s="17"/>
      <c r="G21" s="17"/>
      <c r="H21" s="17"/>
      <c r="I21" s="17"/>
      <c r="J21" s="17"/>
      <c r="K21" s="17"/>
      <c r="L21" s="17"/>
      <c r="M21" s="17"/>
      <c r="N21" s="17"/>
      <c r="O21" s="17"/>
      <c r="P21" s="9" t="str">
        <f aca="false">IF(H21="","",IF(L21="",H21,IF(H21=L21,H21,"DISCUSS")))</f>
        <v/>
      </c>
      <c r="Q21" s="9" t="str">
        <f aca="false">IF(I21="","",IF(M21="",I21,IF(I21=M21,I21,"DISCUSS")))</f>
        <v/>
      </c>
      <c r="R21" s="9" t="str">
        <f aca="false">IF(J21="","",IF(N21="",J21,IF(J21=N21,J21,"DISCUSS")))</f>
        <v/>
      </c>
      <c r="S21" s="9" t="str">
        <f aca="false">IF(K21="","",IF(O21="",K21,IF(K21=O21,K21,"DISCUSS")))</f>
        <v/>
      </c>
      <c r="T21" s="18" t="str">
        <f aca="false">IFERROR(AVERAGE(P21:S21),"")</f>
        <v/>
      </c>
      <c r="U21" s="9" t="n">
        <f aca="false">COUNT(P21:S21)</f>
        <v>0</v>
      </c>
      <c r="V21" s="9" t="n">
        <f aca="false">COUNTIF(P21:S21,"DISCUSS")</f>
        <v>0</v>
      </c>
      <c r="W21" s="9" t="str">
        <f aca="false">IF(U21=0,"",IF(V21&gt;0,"Resolve DISCUSS",IF(U21&lt;Tiers!$B$7,"Unrated",IF(T21&gt;=Tiers!$B$4,"High",IF(T21&gt;=Tiers!$B$5,"Medium","Low")))))</f>
        <v/>
      </c>
      <c r="X21" s="12"/>
    </row>
    <row r="22" customFormat="false" ht="15" hidden="false" customHeight="false" outlineLevel="0" collapsed="false">
      <c r="A22" s="15"/>
      <c r="B22" s="3"/>
      <c r="C22" s="16"/>
      <c r="D22" s="16"/>
      <c r="E22" s="12"/>
      <c r="F22" s="17"/>
      <c r="G22" s="17"/>
      <c r="H22" s="17"/>
      <c r="I22" s="17"/>
      <c r="J22" s="17"/>
      <c r="K22" s="17"/>
      <c r="L22" s="17"/>
      <c r="M22" s="17"/>
      <c r="N22" s="17"/>
      <c r="O22" s="17"/>
      <c r="P22" s="9" t="str">
        <f aca="false">IF(H22="","",IF(L22="",H22,IF(H22=L22,H22,"DISCUSS")))</f>
        <v/>
      </c>
      <c r="Q22" s="9" t="str">
        <f aca="false">IF(I22="","",IF(M22="",I22,IF(I22=M22,I22,"DISCUSS")))</f>
        <v/>
      </c>
      <c r="R22" s="9" t="str">
        <f aca="false">IF(J22="","",IF(N22="",J22,IF(J22=N22,J22,"DISCUSS")))</f>
        <v/>
      </c>
      <c r="S22" s="9" t="str">
        <f aca="false">IF(K22="","",IF(O22="",K22,IF(K22=O22,K22,"DISCUSS")))</f>
        <v/>
      </c>
      <c r="T22" s="18" t="str">
        <f aca="false">IFERROR(AVERAGE(P22:S22),"")</f>
        <v/>
      </c>
      <c r="U22" s="9" t="n">
        <f aca="false">COUNT(P22:S22)</f>
        <v>0</v>
      </c>
      <c r="V22" s="9" t="n">
        <f aca="false">COUNTIF(P22:S22,"DISCUSS")</f>
        <v>0</v>
      </c>
      <c r="W22" s="9" t="str">
        <f aca="false">IF(U22=0,"",IF(V22&gt;0,"Resolve DISCUSS",IF(U22&lt;Tiers!$B$7,"Unrated",IF(T22&gt;=Tiers!$B$4,"High",IF(T22&gt;=Tiers!$B$5,"Medium","Low")))))</f>
        <v/>
      </c>
      <c r="X22" s="12"/>
    </row>
    <row r="23" customFormat="false" ht="15" hidden="false" customHeight="false" outlineLevel="0" collapsed="false">
      <c r="A23" s="15"/>
      <c r="B23" s="3"/>
      <c r="C23" s="16"/>
      <c r="D23" s="16"/>
      <c r="E23" s="12"/>
      <c r="F23" s="17"/>
      <c r="G23" s="17"/>
      <c r="H23" s="17"/>
      <c r="I23" s="17"/>
      <c r="J23" s="17"/>
      <c r="K23" s="17"/>
      <c r="L23" s="17"/>
      <c r="M23" s="17"/>
      <c r="N23" s="17"/>
      <c r="O23" s="17"/>
      <c r="P23" s="9" t="str">
        <f aca="false">IF(H23="","",IF(L23="",H23,IF(H23=L23,H23,"DISCUSS")))</f>
        <v/>
      </c>
      <c r="Q23" s="9" t="str">
        <f aca="false">IF(I23="","",IF(M23="",I23,IF(I23=M23,I23,"DISCUSS")))</f>
        <v/>
      </c>
      <c r="R23" s="9" t="str">
        <f aca="false">IF(J23="","",IF(N23="",J23,IF(J23=N23,J23,"DISCUSS")))</f>
        <v/>
      </c>
      <c r="S23" s="9" t="str">
        <f aca="false">IF(K23="","",IF(O23="",K23,IF(K23=O23,K23,"DISCUSS")))</f>
        <v/>
      </c>
      <c r="T23" s="18" t="str">
        <f aca="false">IFERROR(AVERAGE(P23:S23),"")</f>
        <v/>
      </c>
      <c r="U23" s="9" t="n">
        <f aca="false">COUNT(P23:S23)</f>
        <v>0</v>
      </c>
      <c r="V23" s="9" t="n">
        <f aca="false">COUNTIF(P23:S23,"DISCUSS")</f>
        <v>0</v>
      </c>
      <c r="W23" s="9" t="str">
        <f aca="false">IF(U23=0,"",IF(V23&gt;0,"Resolve DISCUSS",IF(U23&lt;Tiers!$B$7,"Unrated",IF(T23&gt;=Tiers!$B$4,"High",IF(T23&gt;=Tiers!$B$5,"Medium","Low")))))</f>
        <v/>
      </c>
      <c r="X23" s="12"/>
    </row>
    <row r="24" customFormat="false" ht="15" hidden="false" customHeight="false" outlineLevel="0" collapsed="false">
      <c r="A24" s="15"/>
      <c r="B24" s="3"/>
      <c r="C24" s="16"/>
      <c r="D24" s="16"/>
      <c r="E24" s="12"/>
      <c r="F24" s="17"/>
      <c r="G24" s="17"/>
      <c r="H24" s="17"/>
      <c r="I24" s="17"/>
      <c r="J24" s="17"/>
      <c r="K24" s="17"/>
      <c r="L24" s="17"/>
      <c r="M24" s="17"/>
      <c r="N24" s="17"/>
      <c r="O24" s="17"/>
      <c r="P24" s="9" t="str">
        <f aca="false">IF(H24="","",IF(L24="",H24,IF(H24=L24,H24,"DISCUSS")))</f>
        <v/>
      </c>
      <c r="Q24" s="9" t="str">
        <f aca="false">IF(I24="","",IF(M24="",I24,IF(I24=M24,I24,"DISCUSS")))</f>
        <v/>
      </c>
      <c r="R24" s="9" t="str">
        <f aca="false">IF(J24="","",IF(N24="",J24,IF(J24=N24,J24,"DISCUSS")))</f>
        <v/>
      </c>
      <c r="S24" s="9" t="str">
        <f aca="false">IF(K24="","",IF(O24="",K24,IF(K24=O24,K24,"DISCUSS")))</f>
        <v/>
      </c>
      <c r="T24" s="18" t="str">
        <f aca="false">IFERROR(AVERAGE(P24:S24),"")</f>
        <v/>
      </c>
      <c r="U24" s="9" t="n">
        <f aca="false">COUNT(P24:S24)</f>
        <v>0</v>
      </c>
      <c r="V24" s="9" t="n">
        <f aca="false">COUNTIF(P24:S24,"DISCUSS")</f>
        <v>0</v>
      </c>
      <c r="W24" s="9" t="str">
        <f aca="false">IF(U24=0,"",IF(V24&gt;0,"Resolve DISCUSS",IF(U24&lt;Tiers!$B$7,"Unrated",IF(T24&gt;=Tiers!$B$4,"High",IF(T24&gt;=Tiers!$B$5,"Medium","Low")))))</f>
        <v/>
      </c>
      <c r="X24" s="12"/>
    </row>
    <row r="25" customFormat="false" ht="15" hidden="false" customHeight="false" outlineLevel="0" collapsed="false">
      <c r="A25" s="15"/>
      <c r="B25" s="3"/>
      <c r="C25" s="16"/>
      <c r="D25" s="16"/>
      <c r="E25" s="12"/>
      <c r="F25" s="17"/>
      <c r="G25" s="17"/>
      <c r="H25" s="17"/>
      <c r="I25" s="17"/>
      <c r="J25" s="17"/>
      <c r="K25" s="17"/>
      <c r="L25" s="17"/>
      <c r="M25" s="17"/>
      <c r="N25" s="17"/>
      <c r="O25" s="17"/>
      <c r="P25" s="9" t="str">
        <f aca="false">IF(H25="","",IF(L25="",H25,IF(H25=L25,H25,"DISCUSS")))</f>
        <v/>
      </c>
      <c r="Q25" s="9" t="str">
        <f aca="false">IF(I25="","",IF(M25="",I25,IF(I25=M25,I25,"DISCUSS")))</f>
        <v/>
      </c>
      <c r="R25" s="9" t="str">
        <f aca="false">IF(J25="","",IF(N25="",J25,IF(J25=N25,J25,"DISCUSS")))</f>
        <v/>
      </c>
      <c r="S25" s="9" t="str">
        <f aca="false">IF(K25="","",IF(O25="",K25,IF(K25=O25,K25,"DISCUSS")))</f>
        <v/>
      </c>
      <c r="T25" s="18" t="str">
        <f aca="false">IFERROR(AVERAGE(P25:S25),"")</f>
        <v/>
      </c>
      <c r="U25" s="9" t="n">
        <f aca="false">COUNT(P25:S25)</f>
        <v>0</v>
      </c>
      <c r="V25" s="9" t="n">
        <f aca="false">COUNTIF(P25:S25,"DISCUSS")</f>
        <v>0</v>
      </c>
      <c r="W25" s="9" t="str">
        <f aca="false">IF(U25=0,"",IF(V25&gt;0,"Resolve DISCUSS",IF(U25&lt;Tiers!$B$7,"Unrated",IF(T25&gt;=Tiers!$B$4,"High",IF(T25&gt;=Tiers!$B$5,"Medium","Low")))))</f>
        <v/>
      </c>
      <c r="X25" s="12"/>
    </row>
    <row r="26" customFormat="false" ht="15" hidden="false" customHeight="false" outlineLevel="0" collapsed="false">
      <c r="A26" s="15"/>
      <c r="B26" s="3"/>
      <c r="C26" s="16"/>
      <c r="D26" s="16"/>
      <c r="E26" s="12"/>
      <c r="F26" s="17"/>
      <c r="G26" s="17"/>
      <c r="H26" s="17"/>
      <c r="I26" s="17"/>
      <c r="J26" s="17"/>
      <c r="K26" s="17"/>
      <c r="L26" s="17"/>
      <c r="M26" s="17"/>
      <c r="N26" s="17"/>
      <c r="O26" s="17"/>
      <c r="P26" s="9" t="str">
        <f aca="false">IF(H26="","",IF(L26="",H26,IF(H26=L26,H26,"DISCUSS")))</f>
        <v/>
      </c>
      <c r="Q26" s="9" t="str">
        <f aca="false">IF(I26="","",IF(M26="",I26,IF(I26=M26,I26,"DISCUSS")))</f>
        <v/>
      </c>
      <c r="R26" s="9" t="str">
        <f aca="false">IF(J26="","",IF(N26="",J26,IF(J26=N26,J26,"DISCUSS")))</f>
        <v/>
      </c>
      <c r="S26" s="9" t="str">
        <f aca="false">IF(K26="","",IF(O26="",K26,IF(K26=O26,K26,"DISCUSS")))</f>
        <v/>
      </c>
      <c r="T26" s="18" t="str">
        <f aca="false">IFERROR(AVERAGE(P26:S26),"")</f>
        <v/>
      </c>
      <c r="U26" s="9" t="n">
        <f aca="false">COUNT(P26:S26)</f>
        <v>0</v>
      </c>
      <c r="V26" s="9" t="n">
        <f aca="false">COUNTIF(P26:S26,"DISCUSS")</f>
        <v>0</v>
      </c>
      <c r="W26" s="9" t="str">
        <f aca="false">IF(U26=0,"",IF(V26&gt;0,"Resolve DISCUSS",IF(U26&lt;Tiers!$B$7,"Unrated",IF(T26&gt;=Tiers!$B$4,"High",IF(T26&gt;=Tiers!$B$5,"Medium","Low")))))</f>
        <v/>
      </c>
      <c r="X26" s="12"/>
    </row>
    <row r="27" customFormat="false" ht="15" hidden="false" customHeight="false" outlineLevel="0" collapsed="false">
      <c r="A27" s="15"/>
      <c r="B27" s="3"/>
      <c r="C27" s="16"/>
      <c r="D27" s="16"/>
      <c r="E27" s="12"/>
      <c r="F27" s="17"/>
      <c r="G27" s="17"/>
      <c r="H27" s="17"/>
      <c r="I27" s="17"/>
      <c r="J27" s="17"/>
      <c r="K27" s="17"/>
      <c r="L27" s="17"/>
      <c r="M27" s="17"/>
      <c r="N27" s="17"/>
      <c r="O27" s="17"/>
      <c r="P27" s="9" t="str">
        <f aca="false">IF(H27="","",IF(L27="",H27,IF(H27=L27,H27,"DISCUSS")))</f>
        <v/>
      </c>
      <c r="Q27" s="9" t="str">
        <f aca="false">IF(I27="","",IF(M27="",I27,IF(I27=M27,I27,"DISCUSS")))</f>
        <v/>
      </c>
      <c r="R27" s="9" t="str">
        <f aca="false">IF(J27="","",IF(N27="",J27,IF(J27=N27,J27,"DISCUSS")))</f>
        <v/>
      </c>
      <c r="S27" s="9" t="str">
        <f aca="false">IF(K27="","",IF(O27="",K27,IF(K27=O27,K27,"DISCUSS")))</f>
        <v/>
      </c>
      <c r="T27" s="18" t="str">
        <f aca="false">IFERROR(AVERAGE(P27:S27),"")</f>
        <v/>
      </c>
      <c r="U27" s="9" t="n">
        <f aca="false">COUNT(P27:S27)</f>
        <v>0</v>
      </c>
      <c r="V27" s="9" t="n">
        <f aca="false">COUNTIF(P27:S27,"DISCUSS")</f>
        <v>0</v>
      </c>
      <c r="W27" s="9" t="str">
        <f aca="false">IF(U27=0,"",IF(V27&gt;0,"Resolve DISCUSS",IF(U27&lt;Tiers!$B$7,"Unrated",IF(T27&gt;=Tiers!$B$4,"High",IF(T27&gt;=Tiers!$B$5,"Medium","Low")))))</f>
        <v/>
      </c>
      <c r="X27" s="12"/>
    </row>
    <row r="28" customFormat="false" ht="15" hidden="false" customHeight="false" outlineLevel="0" collapsed="false">
      <c r="A28" s="15"/>
      <c r="B28" s="3"/>
      <c r="C28" s="16"/>
      <c r="D28" s="16"/>
      <c r="E28" s="12"/>
      <c r="F28" s="17"/>
      <c r="G28" s="17"/>
      <c r="H28" s="17"/>
      <c r="I28" s="17"/>
      <c r="J28" s="17"/>
      <c r="K28" s="17"/>
      <c r="L28" s="17"/>
      <c r="M28" s="17"/>
      <c r="N28" s="17"/>
      <c r="O28" s="17"/>
      <c r="P28" s="9" t="str">
        <f aca="false">IF(H28="","",IF(L28="",H28,IF(H28=L28,H28,"DISCUSS")))</f>
        <v/>
      </c>
      <c r="Q28" s="9" t="str">
        <f aca="false">IF(I28="","",IF(M28="",I28,IF(I28=M28,I28,"DISCUSS")))</f>
        <v/>
      </c>
      <c r="R28" s="9" t="str">
        <f aca="false">IF(J28="","",IF(N28="",J28,IF(J28=N28,J28,"DISCUSS")))</f>
        <v/>
      </c>
      <c r="S28" s="9" t="str">
        <f aca="false">IF(K28="","",IF(O28="",K28,IF(K28=O28,K28,"DISCUSS")))</f>
        <v/>
      </c>
      <c r="T28" s="18" t="str">
        <f aca="false">IFERROR(AVERAGE(P28:S28),"")</f>
        <v/>
      </c>
      <c r="U28" s="9" t="n">
        <f aca="false">COUNT(P28:S28)</f>
        <v>0</v>
      </c>
      <c r="V28" s="9" t="n">
        <f aca="false">COUNTIF(P28:S28,"DISCUSS")</f>
        <v>0</v>
      </c>
      <c r="W28" s="9" t="str">
        <f aca="false">IF(U28=0,"",IF(V28&gt;0,"Resolve DISCUSS",IF(U28&lt;Tiers!$B$7,"Unrated",IF(T28&gt;=Tiers!$B$4,"High",IF(T28&gt;=Tiers!$B$5,"Medium","Low")))))</f>
        <v/>
      </c>
      <c r="X28" s="12"/>
    </row>
    <row r="29" customFormat="false" ht="15" hidden="false" customHeight="false" outlineLevel="0" collapsed="false">
      <c r="A29" s="15"/>
      <c r="B29" s="3"/>
      <c r="C29" s="16"/>
      <c r="D29" s="16"/>
      <c r="E29" s="12"/>
      <c r="F29" s="17"/>
      <c r="G29" s="17"/>
      <c r="H29" s="17"/>
      <c r="I29" s="17"/>
      <c r="J29" s="17"/>
      <c r="K29" s="17"/>
      <c r="L29" s="17"/>
      <c r="M29" s="17"/>
      <c r="N29" s="17"/>
      <c r="O29" s="17"/>
      <c r="P29" s="9" t="str">
        <f aca="false">IF(H29="","",IF(L29="",H29,IF(H29=L29,H29,"DISCUSS")))</f>
        <v/>
      </c>
      <c r="Q29" s="9" t="str">
        <f aca="false">IF(I29="","",IF(M29="",I29,IF(I29=M29,I29,"DISCUSS")))</f>
        <v/>
      </c>
      <c r="R29" s="9" t="str">
        <f aca="false">IF(J29="","",IF(N29="",J29,IF(J29=N29,J29,"DISCUSS")))</f>
        <v/>
      </c>
      <c r="S29" s="9" t="str">
        <f aca="false">IF(K29="","",IF(O29="",K29,IF(K29=O29,K29,"DISCUSS")))</f>
        <v/>
      </c>
      <c r="T29" s="18" t="str">
        <f aca="false">IFERROR(AVERAGE(P29:S29),"")</f>
        <v/>
      </c>
      <c r="U29" s="9" t="n">
        <f aca="false">COUNT(P29:S29)</f>
        <v>0</v>
      </c>
      <c r="V29" s="9" t="n">
        <f aca="false">COUNTIF(P29:S29,"DISCUSS")</f>
        <v>0</v>
      </c>
      <c r="W29" s="9" t="str">
        <f aca="false">IF(U29=0,"",IF(V29&gt;0,"Resolve DISCUSS",IF(U29&lt;Tiers!$B$7,"Unrated",IF(T29&gt;=Tiers!$B$4,"High",IF(T29&gt;=Tiers!$B$5,"Medium","Low")))))</f>
        <v/>
      </c>
      <c r="X29" s="12"/>
    </row>
    <row r="30" customFormat="false" ht="15" hidden="false" customHeight="false" outlineLevel="0" collapsed="false">
      <c r="A30" s="15"/>
      <c r="B30" s="3"/>
      <c r="C30" s="16"/>
      <c r="D30" s="16"/>
      <c r="E30" s="12"/>
      <c r="F30" s="17"/>
      <c r="G30" s="17"/>
      <c r="H30" s="17"/>
      <c r="I30" s="17"/>
      <c r="J30" s="17"/>
      <c r="K30" s="17"/>
      <c r="L30" s="17"/>
      <c r="M30" s="17"/>
      <c r="N30" s="17"/>
      <c r="O30" s="17"/>
      <c r="P30" s="9" t="str">
        <f aca="false">IF(H30="","",IF(L30="",H30,IF(H30=L30,H30,"DISCUSS")))</f>
        <v/>
      </c>
      <c r="Q30" s="9" t="str">
        <f aca="false">IF(I30="","",IF(M30="",I30,IF(I30=M30,I30,"DISCUSS")))</f>
        <v/>
      </c>
      <c r="R30" s="9" t="str">
        <f aca="false">IF(J30="","",IF(N30="",J30,IF(J30=N30,J30,"DISCUSS")))</f>
        <v/>
      </c>
      <c r="S30" s="9" t="str">
        <f aca="false">IF(K30="","",IF(O30="",K30,IF(K30=O30,K30,"DISCUSS")))</f>
        <v/>
      </c>
      <c r="T30" s="18" t="str">
        <f aca="false">IFERROR(AVERAGE(P30:S30),"")</f>
        <v/>
      </c>
      <c r="U30" s="9" t="n">
        <f aca="false">COUNT(P30:S30)</f>
        <v>0</v>
      </c>
      <c r="V30" s="9" t="n">
        <f aca="false">COUNTIF(P30:S30,"DISCUSS")</f>
        <v>0</v>
      </c>
      <c r="W30" s="9" t="str">
        <f aca="false">IF(U30=0,"",IF(V30&gt;0,"Resolve DISCUSS",IF(U30&lt;Tiers!$B$7,"Unrated",IF(T30&gt;=Tiers!$B$4,"High",IF(T30&gt;=Tiers!$B$5,"Medium","Low")))))</f>
        <v/>
      </c>
      <c r="X30" s="12"/>
    </row>
    <row r="31" customFormat="false" ht="15" hidden="false" customHeight="false" outlineLevel="0" collapsed="false">
      <c r="A31" s="15"/>
      <c r="B31" s="3"/>
      <c r="C31" s="16"/>
      <c r="D31" s="16"/>
      <c r="E31" s="12"/>
      <c r="F31" s="17"/>
      <c r="G31" s="17"/>
      <c r="H31" s="17"/>
      <c r="I31" s="17"/>
      <c r="J31" s="17"/>
      <c r="K31" s="17"/>
      <c r="L31" s="17"/>
      <c r="M31" s="17"/>
      <c r="N31" s="17"/>
      <c r="O31" s="17"/>
      <c r="P31" s="9" t="str">
        <f aca="false">IF(H31="","",IF(L31="",H31,IF(H31=L31,H31,"DISCUSS")))</f>
        <v/>
      </c>
      <c r="Q31" s="9" t="str">
        <f aca="false">IF(I31="","",IF(M31="",I31,IF(I31=M31,I31,"DISCUSS")))</f>
        <v/>
      </c>
      <c r="R31" s="9" t="str">
        <f aca="false">IF(J31="","",IF(N31="",J31,IF(J31=N31,J31,"DISCUSS")))</f>
        <v/>
      </c>
      <c r="S31" s="9" t="str">
        <f aca="false">IF(K31="","",IF(O31="",K31,IF(K31=O31,K31,"DISCUSS")))</f>
        <v/>
      </c>
      <c r="T31" s="18" t="str">
        <f aca="false">IFERROR(AVERAGE(P31:S31),"")</f>
        <v/>
      </c>
      <c r="U31" s="9" t="n">
        <f aca="false">COUNT(P31:S31)</f>
        <v>0</v>
      </c>
      <c r="V31" s="9" t="n">
        <f aca="false">COUNTIF(P31:S31,"DISCUSS")</f>
        <v>0</v>
      </c>
      <c r="W31" s="9" t="str">
        <f aca="false">IF(U31=0,"",IF(V31&gt;0,"Resolve DISCUSS",IF(U31&lt;Tiers!$B$7,"Unrated",IF(T31&gt;=Tiers!$B$4,"High",IF(T31&gt;=Tiers!$B$5,"Medium","Low")))))</f>
        <v/>
      </c>
      <c r="X31" s="12"/>
    </row>
    <row r="32" customFormat="false" ht="15" hidden="false" customHeight="false" outlineLevel="0" collapsed="false">
      <c r="A32" s="15"/>
      <c r="B32" s="3"/>
      <c r="C32" s="16"/>
      <c r="D32" s="16"/>
      <c r="E32" s="12"/>
      <c r="F32" s="17"/>
      <c r="G32" s="17"/>
      <c r="H32" s="17"/>
      <c r="I32" s="17"/>
      <c r="J32" s="17"/>
      <c r="K32" s="17"/>
      <c r="L32" s="17"/>
      <c r="M32" s="17"/>
      <c r="N32" s="17"/>
      <c r="O32" s="17"/>
      <c r="P32" s="9" t="str">
        <f aca="false">IF(H32="","",IF(L32="",H32,IF(H32=L32,H32,"DISCUSS")))</f>
        <v/>
      </c>
      <c r="Q32" s="9" t="str">
        <f aca="false">IF(I32="","",IF(M32="",I32,IF(I32=M32,I32,"DISCUSS")))</f>
        <v/>
      </c>
      <c r="R32" s="9" t="str">
        <f aca="false">IF(J32="","",IF(N32="",J32,IF(J32=N32,J32,"DISCUSS")))</f>
        <v/>
      </c>
      <c r="S32" s="9" t="str">
        <f aca="false">IF(K32="","",IF(O32="",K32,IF(K32=O32,K32,"DISCUSS")))</f>
        <v/>
      </c>
      <c r="T32" s="18" t="str">
        <f aca="false">IFERROR(AVERAGE(P32:S32),"")</f>
        <v/>
      </c>
      <c r="U32" s="9" t="n">
        <f aca="false">COUNT(P32:S32)</f>
        <v>0</v>
      </c>
      <c r="V32" s="9" t="n">
        <f aca="false">COUNTIF(P32:S32,"DISCUSS")</f>
        <v>0</v>
      </c>
      <c r="W32" s="9" t="str">
        <f aca="false">IF(U32=0,"",IF(V32&gt;0,"Resolve DISCUSS",IF(U32&lt;Tiers!$B$7,"Unrated",IF(T32&gt;=Tiers!$B$4,"High",IF(T32&gt;=Tiers!$B$5,"Medium","Low")))))</f>
        <v/>
      </c>
      <c r="X32" s="12"/>
    </row>
    <row r="33" customFormat="false" ht="15" hidden="false" customHeight="false" outlineLevel="0" collapsed="false">
      <c r="A33" s="15"/>
      <c r="B33" s="3"/>
      <c r="C33" s="16"/>
      <c r="D33" s="16"/>
      <c r="E33" s="12"/>
      <c r="F33" s="17"/>
      <c r="G33" s="17"/>
      <c r="H33" s="17"/>
      <c r="I33" s="17"/>
      <c r="J33" s="17"/>
      <c r="K33" s="17"/>
      <c r="L33" s="17"/>
      <c r="M33" s="17"/>
      <c r="N33" s="17"/>
      <c r="O33" s="17"/>
      <c r="P33" s="9" t="str">
        <f aca="false">IF(H33="","",IF(L33="",H33,IF(H33=L33,H33,"DISCUSS")))</f>
        <v/>
      </c>
      <c r="Q33" s="9" t="str">
        <f aca="false">IF(I33="","",IF(M33="",I33,IF(I33=M33,I33,"DISCUSS")))</f>
        <v/>
      </c>
      <c r="R33" s="9" t="str">
        <f aca="false">IF(J33="","",IF(N33="",J33,IF(J33=N33,J33,"DISCUSS")))</f>
        <v/>
      </c>
      <c r="S33" s="9" t="str">
        <f aca="false">IF(K33="","",IF(O33="",K33,IF(K33=O33,K33,"DISCUSS")))</f>
        <v/>
      </c>
      <c r="T33" s="18" t="str">
        <f aca="false">IFERROR(AVERAGE(P33:S33),"")</f>
        <v/>
      </c>
      <c r="U33" s="9" t="n">
        <f aca="false">COUNT(P33:S33)</f>
        <v>0</v>
      </c>
      <c r="V33" s="9" t="n">
        <f aca="false">COUNTIF(P33:S33,"DISCUSS")</f>
        <v>0</v>
      </c>
      <c r="W33" s="9" t="str">
        <f aca="false">IF(U33=0,"",IF(V33&gt;0,"Resolve DISCUSS",IF(U33&lt;Tiers!$B$7,"Unrated",IF(T33&gt;=Tiers!$B$4,"High",IF(T33&gt;=Tiers!$B$5,"Medium","Low")))))</f>
        <v/>
      </c>
      <c r="X33" s="12"/>
    </row>
    <row r="34" customFormat="false" ht="15" hidden="false" customHeight="false" outlineLevel="0" collapsed="false">
      <c r="A34" s="15"/>
      <c r="B34" s="3"/>
      <c r="C34" s="16"/>
      <c r="D34" s="16"/>
      <c r="E34" s="12"/>
      <c r="F34" s="17"/>
      <c r="G34" s="17"/>
      <c r="H34" s="17"/>
      <c r="I34" s="17"/>
      <c r="J34" s="17"/>
      <c r="K34" s="17"/>
      <c r="L34" s="17"/>
      <c r="M34" s="17"/>
      <c r="N34" s="17"/>
      <c r="O34" s="17"/>
      <c r="P34" s="9" t="str">
        <f aca="false">IF(H34="","",IF(L34="",H34,IF(H34=L34,H34,"DISCUSS")))</f>
        <v/>
      </c>
      <c r="Q34" s="9" t="str">
        <f aca="false">IF(I34="","",IF(M34="",I34,IF(I34=M34,I34,"DISCUSS")))</f>
        <v/>
      </c>
      <c r="R34" s="9" t="str">
        <f aca="false">IF(J34="","",IF(N34="",J34,IF(J34=N34,J34,"DISCUSS")))</f>
        <v/>
      </c>
      <c r="S34" s="9" t="str">
        <f aca="false">IF(K34="","",IF(O34="",K34,IF(K34=O34,K34,"DISCUSS")))</f>
        <v/>
      </c>
      <c r="T34" s="18" t="str">
        <f aca="false">IFERROR(AVERAGE(P34:S34),"")</f>
        <v/>
      </c>
      <c r="U34" s="9" t="n">
        <f aca="false">COUNT(P34:S34)</f>
        <v>0</v>
      </c>
      <c r="V34" s="9" t="n">
        <f aca="false">COUNTIF(P34:S34,"DISCUSS")</f>
        <v>0</v>
      </c>
      <c r="W34" s="9" t="str">
        <f aca="false">IF(U34=0,"",IF(V34&gt;0,"Resolve DISCUSS",IF(U34&lt;Tiers!$B$7,"Unrated",IF(T34&gt;=Tiers!$B$4,"High",IF(T34&gt;=Tiers!$B$5,"Medium","Low")))))</f>
        <v/>
      </c>
      <c r="X34" s="12"/>
    </row>
    <row r="35" customFormat="false" ht="15" hidden="false" customHeight="false" outlineLevel="0" collapsed="false">
      <c r="A35" s="15"/>
      <c r="B35" s="3"/>
      <c r="C35" s="16"/>
      <c r="D35" s="16"/>
      <c r="E35" s="12"/>
      <c r="F35" s="17"/>
      <c r="G35" s="17"/>
      <c r="H35" s="17"/>
      <c r="I35" s="17"/>
      <c r="J35" s="17"/>
      <c r="K35" s="17"/>
      <c r="L35" s="17"/>
      <c r="M35" s="17"/>
      <c r="N35" s="17"/>
      <c r="O35" s="17"/>
      <c r="P35" s="9" t="str">
        <f aca="false">IF(H35="","",IF(L35="",H35,IF(H35=L35,H35,"DISCUSS")))</f>
        <v/>
      </c>
      <c r="Q35" s="9" t="str">
        <f aca="false">IF(I35="","",IF(M35="",I35,IF(I35=M35,I35,"DISCUSS")))</f>
        <v/>
      </c>
      <c r="R35" s="9" t="str">
        <f aca="false">IF(J35="","",IF(N35="",J35,IF(J35=N35,J35,"DISCUSS")))</f>
        <v/>
      </c>
      <c r="S35" s="9" t="str">
        <f aca="false">IF(K35="","",IF(O35="",K35,IF(K35=O35,K35,"DISCUSS")))</f>
        <v/>
      </c>
      <c r="T35" s="18" t="str">
        <f aca="false">IFERROR(AVERAGE(P35:S35),"")</f>
        <v/>
      </c>
      <c r="U35" s="9" t="n">
        <f aca="false">COUNT(P35:S35)</f>
        <v>0</v>
      </c>
      <c r="V35" s="9" t="n">
        <f aca="false">COUNTIF(P35:S35,"DISCUSS")</f>
        <v>0</v>
      </c>
      <c r="W35" s="9" t="str">
        <f aca="false">IF(U35=0,"",IF(V35&gt;0,"Resolve DISCUSS",IF(U35&lt;Tiers!$B$7,"Unrated",IF(T35&gt;=Tiers!$B$4,"High",IF(T35&gt;=Tiers!$B$5,"Medium","Low")))))</f>
        <v/>
      </c>
      <c r="X35" s="12"/>
    </row>
    <row r="36" customFormat="false" ht="15" hidden="false" customHeight="false" outlineLevel="0" collapsed="false">
      <c r="A36" s="15"/>
      <c r="B36" s="3"/>
      <c r="C36" s="16"/>
      <c r="D36" s="16"/>
      <c r="E36" s="12"/>
      <c r="F36" s="17"/>
      <c r="G36" s="17"/>
      <c r="H36" s="17"/>
      <c r="I36" s="17"/>
      <c r="J36" s="17"/>
      <c r="K36" s="17"/>
      <c r="L36" s="17"/>
      <c r="M36" s="17"/>
      <c r="N36" s="17"/>
      <c r="O36" s="17"/>
      <c r="P36" s="9" t="str">
        <f aca="false">IF(H36="","",IF(L36="",H36,IF(H36=L36,H36,"DISCUSS")))</f>
        <v/>
      </c>
      <c r="Q36" s="9" t="str">
        <f aca="false">IF(I36="","",IF(M36="",I36,IF(I36=M36,I36,"DISCUSS")))</f>
        <v/>
      </c>
      <c r="R36" s="9" t="str">
        <f aca="false">IF(J36="","",IF(N36="",J36,IF(J36=N36,J36,"DISCUSS")))</f>
        <v/>
      </c>
      <c r="S36" s="9" t="str">
        <f aca="false">IF(K36="","",IF(O36="",K36,IF(K36=O36,K36,"DISCUSS")))</f>
        <v/>
      </c>
      <c r="T36" s="18" t="str">
        <f aca="false">IFERROR(AVERAGE(P36:S36),"")</f>
        <v/>
      </c>
      <c r="U36" s="9" t="n">
        <f aca="false">COUNT(P36:S36)</f>
        <v>0</v>
      </c>
      <c r="V36" s="9" t="n">
        <f aca="false">COUNTIF(P36:S36,"DISCUSS")</f>
        <v>0</v>
      </c>
      <c r="W36" s="9" t="str">
        <f aca="false">IF(U36=0,"",IF(V36&gt;0,"Resolve DISCUSS",IF(U36&lt;Tiers!$B$7,"Unrated",IF(T36&gt;=Tiers!$B$4,"High",IF(T36&gt;=Tiers!$B$5,"Medium","Low")))))</f>
        <v/>
      </c>
      <c r="X36" s="12"/>
    </row>
    <row r="37" customFormat="false" ht="15" hidden="false" customHeight="false" outlineLevel="0" collapsed="false">
      <c r="A37" s="15"/>
      <c r="B37" s="3"/>
      <c r="C37" s="16"/>
      <c r="D37" s="16"/>
      <c r="E37" s="12"/>
      <c r="F37" s="17"/>
      <c r="G37" s="17"/>
      <c r="H37" s="17"/>
      <c r="I37" s="17"/>
      <c r="J37" s="17"/>
      <c r="K37" s="17"/>
      <c r="L37" s="17"/>
      <c r="M37" s="17"/>
      <c r="N37" s="17"/>
      <c r="O37" s="17"/>
      <c r="P37" s="9" t="str">
        <f aca="false">IF(H37="","",IF(L37="",H37,IF(H37=L37,H37,"DISCUSS")))</f>
        <v/>
      </c>
      <c r="Q37" s="9" t="str">
        <f aca="false">IF(I37="","",IF(M37="",I37,IF(I37=M37,I37,"DISCUSS")))</f>
        <v/>
      </c>
      <c r="R37" s="9" t="str">
        <f aca="false">IF(J37="","",IF(N37="",J37,IF(J37=N37,J37,"DISCUSS")))</f>
        <v/>
      </c>
      <c r="S37" s="9" t="str">
        <f aca="false">IF(K37="","",IF(O37="",K37,IF(K37=O37,K37,"DISCUSS")))</f>
        <v/>
      </c>
      <c r="T37" s="18" t="str">
        <f aca="false">IFERROR(AVERAGE(P37:S37),"")</f>
        <v/>
      </c>
      <c r="U37" s="9" t="n">
        <f aca="false">COUNT(P37:S37)</f>
        <v>0</v>
      </c>
      <c r="V37" s="9" t="n">
        <f aca="false">COUNTIF(P37:S37,"DISCUSS")</f>
        <v>0</v>
      </c>
      <c r="W37" s="9" t="str">
        <f aca="false">IF(U37=0,"",IF(V37&gt;0,"Resolve DISCUSS",IF(U37&lt;Tiers!$B$7,"Unrated",IF(T37&gt;=Tiers!$B$4,"High",IF(T37&gt;=Tiers!$B$5,"Medium","Low")))))</f>
        <v/>
      </c>
      <c r="X37" s="12"/>
    </row>
    <row r="38" customFormat="false" ht="15" hidden="false" customHeight="false" outlineLevel="0" collapsed="false">
      <c r="A38" s="15"/>
      <c r="B38" s="3"/>
      <c r="C38" s="16"/>
      <c r="D38" s="16"/>
      <c r="E38" s="12"/>
      <c r="F38" s="17"/>
      <c r="G38" s="17"/>
      <c r="H38" s="17"/>
      <c r="I38" s="17"/>
      <c r="J38" s="17"/>
      <c r="K38" s="17"/>
      <c r="L38" s="17"/>
      <c r="M38" s="17"/>
      <c r="N38" s="17"/>
      <c r="O38" s="17"/>
      <c r="P38" s="9" t="str">
        <f aca="false">IF(H38="","",IF(L38="",H38,IF(H38=L38,H38,"DISCUSS")))</f>
        <v/>
      </c>
      <c r="Q38" s="9" t="str">
        <f aca="false">IF(I38="","",IF(M38="",I38,IF(I38=M38,I38,"DISCUSS")))</f>
        <v/>
      </c>
      <c r="R38" s="9" t="str">
        <f aca="false">IF(J38="","",IF(N38="",J38,IF(J38=N38,J38,"DISCUSS")))</f>
        <v/>
      </c>
      <c r="S38" s="9" t="str">
        <f aca="false">IF(K38="","",IF(O38="",K38,IF(K38=O38,K38,"DISCUSS")))</f>
        <v/>
      </c>
      <c r="T38" s="18" t="str">
        <f aca="false">IFERROR(AVERAGE(P38:S38),"")</f>
        <v/>
      </c>
      <c r="U38" s="9" t="n">
        <f aca="false">COUNT(P38:S38)</f>
        <v>0</v>
      </c>
      <c r="V38" s="9" t="n">
        <f aca="false">COUNTIF(P38:S38,"DISCUSS")</f>
        <v>0</v>
      </c>
      <c r="W38" s="9" t="str">
        <f aca="false">IF(U38=0,"",IF(V38&gt;0,"Resolve DISCUSS",IF(U38&lt;Tiers!$B$7,"Unrated",IF(T38&gt;=Tiers!$B$4,"High",IF(T38&gt;=Tiers!$B$5,"Medium","Low")))))</f>
        <v/>
      </c>
      <c r="X38" s="12"/>
    </row>
    <row r="39" customFormat="false" ht="15" hidden="false" customHeight="false" outlineLevel="0" collapsed="false">
      <c r="A39" s="15"/>
      <c r="B39" s="3"/>
      <c r="C39" s="16"/>
      <c r="D39" s="16"/>
      <c r="E39" s="12"/>
      <c r="F39" s="17"/>
      <c r="G39" s="17"/>
      <c r="H39" s="17"/>
      <c r="I39" s="17"/>
      <c r="J39" s="17"/>
      <c r="K39" s="17"/>
      <c r="L39" s="17"/>
      <c r="M39" s="17"/>
      <c r="N39" s="17"/>
      <c r="O39" s="17"/>
      <c r="P39" s="9" t="str">
        <f aca="false">IF(H39="","",IF(L39="",H39,IF(H39=L39,H39,"DISCUSS")))</f>
        <v/>
      </c>
      <c r="Q39" s="9" t="str">
        <f aca="false">IF(I39="","",IF(M39="",I39,IF(I39=M39,I39,"DISCUSS")))</f>
        <v/>
      </c>
      <c r="R39" s="9" t="str">
        <f aca="false">IF(J39="","",IF(N39="",J39,IF(J39=N39,J39,"DISCUSS")))</f>
        <v/>
      </c>
      <c r="S39" s="9" t="str">
        <f aca="false">IF(K39="","",IF(O39="",K39,IF(K39=O39,K39,"DISCUSS")))</f>
        <v/>
      </c>
      <c r="T39" s="18" t="str">
        <f aca="false">IFERROR(AVERAGE(P39:S39),"")</f>
        <v/>
      </c>
      <c r="U39" s="9" t="n">
        <f aca="false">COUNT(P39:S39)</f>
        <v>0</v>
      </c>
      <c r="V39" s="9" t="n">
        <f aca="false">COUNTIF(P39:S39,"DISCUSS")</f>
        <v>0</v>
      </c>
      <c r="W39" s="9" t="str">
        <f aca="false">IF(U39=0,"",IF(V39&gt;0,"Resolve DISCUSS",IF(U39&lt;Tiers!$B$7,"Unrated",IF(T39&gt;=Tiers!$B$4,"High",IF(T39&gt;=Tiers!$B$5,"Medium","Low")))))</f>
        <v/>
      </c>
      <c r="X39" s="12"/>
    </row>
    <row r="40" customFormat="false" ht="15" hidden="false" customHeight="false" outlineLevel="0" collapsed="false">
      <c r="A40" s="15"/>
      <c r="B40" s="3"/>
      <c r="C40" s="16"/>
      <c r="D40" s="16"/>
      <c r="E40" s="12"/>
      <c r="F40" s="17"/>
      <c r="G40" s="17"/>
      <c r="H40" s="17"/>
      <c r="I40" s="17"/>
      <c r="J40" s="17"/>
      <c r="K40" s="17"/>
      <c r="L40" s="17"/>
      <c r="M40" s="17"/>
      <c r="N40" s="17"/>
      <c r="O40" s="17"/>
      <c r="P40" s="9" t="str">
        <f aca="false">IF(H40="","",IF(L40="",H40,IF(H40=L40,H40,"DISCUSS")))</f>
        <v/>
      </c>
      <c r="Q40" s="9" t="str">
        <f aca="false">IF(I40="","",IF(M40="",I40,IF(I40=M40,I40,"DISCUSS")))</f>
        <v/>
      </c>
      <c r="R40" s="9" t="str">
        <f aca="false">IF(J40="","",IF(N40="",J40,IF(J40=N40,J40,"DISCUSS")))</f>
        <v/>
      </c>
      <c r="S40" s="9" t="str">
        <f aca="false">IF(K40="","",IF(O40="",K40,IF(K40=O40,K40,"DISCUSS")))</f>
        <v/>
      </c>
      <c r="T40" s="18" t="str">
        <f aca="false">IFERROR(AVERAGE(P40:S40),"")</f>
        <v/>
      </c>
      <c r="U40" s="9" t="n">
        <f aca="false">COUNT(P40:S40)</f>
        <v>0</v>
      </c>
      <c r="V40" s="9" t="n">
        <f aca="false">COUNTIF(P40:S40,"DISCUSS")</f>
        <v>0</v>
      </c>
      <c r="W40" s="9" t="str">
        <f aca="false">IF(U40=0,"",IF(V40&gt;0,"Resolve DISCUSS",IF(U40&lt;Tiers!$B$7,"Unrated",IF(T40&gt;=Tiers!$B$4,"High",IF(T40&gt;=Tiers!$B$5,"Medium","Low")))))</f>
        <v/>
      </c>
      <c r="X40" s="12"/>
    </row>
    <row r="41" customFormat="false" ht="15" hidden="false" customHeight="false" outlineLevel="0" collapsed="false">
      <c r="A41" s="15"/>
      <c r="B41" s="3"/>
      <c r="C41" s="16"/>
      <c r="D41" s="16"/>
      <c r="E41" s="12"/>
      <c r="F41" s="17"/>
      <c r="G41" s="17"/>
      <c r="H41" s="17"/>
      <c r="I41" s="17"/>
      <c r="J41" s="17"/>
      <c r="K41" s="17"/>
      <c r="L41" s="17"/>
      <c r="M41" s="17"/>
      <c r="N41" s="17"/>
      <c r="O41" s="17"/>
      <c r="P41" s="9" t="str">
        <f aca="false">IF(H41="","",IF(L41="",H41,IF(H41=L41,H41,"DISCUSS")))</f>
        <v/>
      </c>
      <c r="Q41" s="9" t="str">
        <f aca="false">IF(I41="","",IF(M41="",I41,IF(I41=M41,I41,"DISCUSS")))</f>
        <v/>
      </c>
      <c r="R41" s="9" t="str">
        <f aca="false">IF(J41="","",IF(N41="",J41,IF(J41=N41,J41,"DISCUSS")))</f>
        <v/>
      </c>
      <c r="S41" s="9" t="str">
        <f aca="false">IF(K41="","",IF(O41="",K41,IF(K41=O41,K41,"DISCUSS")))</f>
        <v/>
      </c>
      <c r="T41" s="18" t="str">
        <f aca="false">IFERROR(AVERAGE(P41:S41),"")</f>
        <v/>
      </c>
      <c r="U41" s="9" t="n">
        <f aca="false">COUNT(P41:S41)</f>
        <v>0</v>
      </c>
      <c r="V41" s="9" t="n">
        <f aca="false">COUNTIF(P41:S41,"DISCUSS")</f>
        <v>0</v>
      </c>
      <c r="W41" s="9" t="str">
        <f aca="false">IF(U41=0,"",IF(V41&gt;0,"Resolve DISCUSS",IF(U41&lt;Tiers!$B$7,"Unrated",IF(T41&gt;=Tiers!$B$4,"High",IF(T41&gt;=Tiers!$B$5,"Medium","Low")))))</f>
        <v/>
      </c>
      <c r="X41" s="12"/>
    </row>
    <row r="42" customFormat="false" ht="15" hidden="false" customHeight="false" outlineLevel="0" collapsed="false">
      <c r="A42" s="15"/>
      <c r="B42" s="3"/>
      <c r="C42" s="16"/>
      <c r="D42" s="16"/>
      <c r="E42" s="12"/>
      <c r="F42" s="17"/>
      <c r="G42" s="17"/>
      <c r="H42" s="17"/>
      <c r="I42" s="17"/>
      <c r="J42" s="17"/>
      <c r="K42" s="17"/>
      <c r="L42" s="17"/>
      <c r="M42" s="17"/>
      <c r="N42" s="17"/>
      <c r="O42" s="17"/>
      <c r="P42" s="9" t="str">
        <f aca="false">IF(H42="","",IF(L42="",H42,IF(H42=L42,H42,"DISCUSS")))</f>
        <v/>
      </c>
      <c r="Q42" s="9" t="str">
        <f aca="false">IF(I42="","",IF(M42="",I42,IF(I42=M42,I42,"DISCUSS")))</f>
        <v/>
      </c>
      <c r="R42" s="9" t="str">
        <f aca="false">IF(J42="","",IF(N42="",J42,IF(J42=N42,J42,"DISCUSS")))</f>
        <v/>
      </c>
      <c r="S42" s="9" t="str">
        <f aca="false">IF(K42="","",IF(O42="",K42,IF(K42=O42,K42,"DISCUSS")))</f>
        <v/>
      </c>
      <c r="T42" s="18" t="str">
        <f aca="false">IFERROR(AVERAGE(P42:S42),"")</f>
        <v/>
      </c>
      <c r="U42" s="9" t="n">
        <f aca="false">COUNT(P42:S42)</f>
        <v>0</v>
      </c>
      <c r="V42" s="9" t="n">
        <f aca="false">COUNTIF(P42:S42,"DISCUSS")</f>
        <v>0</v>
      </c>
      <c r="W42" s="9" t="str">
        <f aca="false">IF(U42=0,"",IF(V42&gt;0,"Resolve DISCUSS",IF(U42&lt;Tiers!$B$7,"Unrated",IF(T42&gt;=Tiers!$B$4,"High",IF(T42&gt;=Tiers!$B$5,"Medium","Low")))))</f>
        <v/>
      </c>
      <c r="X42" s="12"/>
    </row>
    <row r="43" customFormat="false" ht="15" hidden="false" customHeight="false" outlineLevel="0" collapsed="false">
      <c r="A43" s="15"/>
      <c r="B43" s="3"/>
      <c r="C43" s="16"/>
      <c r="D43" s="16"/>
      <c r="E43" s="12"/>
      <c r="F43" s="17"/>
      <c r="G43" s="17"/>
      <c r="H43" s="17"/>
      <c r="I43" s="17"/>
      <c r="J43" s="17"/>
      <c r="K43" s="17"/>
      <c r="L43" s="17"/>
      <c r="M43" s="17"/>
      <c r="N43" s="17"/>
      <c r="O43" s="17"/>
      <c r="P43" s="9" t="str">
        <f aca="false">IF(H43="","",IF(L43="",H43,IF(H43=L43,H43,"DISCUSS")))</f>
        <v/>
      </c>
      <c r="Q43" s="9" t="str">
        <f aca="false">IF(I43="","",IF(M43="",I43,IF(I43=M43,I43,"DISCUSS")))</f>
        <v/>
      </c>
      <c r="R43" s="9" t="str">
        <f aca="false">IF(J43="","",IF(N43="",J43,IF(J43=N43,J43,"DISCUSS")))</f>
        <v/>
      </c>
      <c r="S43" s="9" t="str">
        <f aca="false">IF(K43="","",IF(O43="",K43,IF(K43=O43,K43,"DISCUSS")))</f>
        <v/>
      </c>
      <c r="T43" s="18" t="str">
        <f aca="false">IFERROR(AVERAGE(P43:S43),"")</f>
        <v/>
      </c>
      <c r="U43" s="9" t="n">
        <f aca="false">COUNT(P43:S43)</f>
        <v>0</v>
      </c>
      <c r="V43" s="9" t="n">
        <f aca="false">COUNTIF(P43:S43,"DISCUSS")</f>
        <v>0</v>
      </c>
      <c r="W43" s="9" t="str">
        <f aca="false">IF(U43=0,"",IF(V43&gt;0,"Resolve DISCUSS",IF(U43&lt;Tiers!$B$7,"Unrated",IF(T43&gt;=Tiers!$B$4,"High",IF(T43&gt;=Tiers!$B$5,"Medium","Low")))))</f>
        <v/>
      </c>
      <c r="X43" s="12"/>
    </row>
    <row r="44" customFormat="false" ht="15" hidden="false" customHeight="false" outlineLevel="0" collapsed="false">
      <c r="A44" s="15"/>
      <c r="B44" s="3"/>
      <c r="C44" s="16"/>
      <c r="D44" s="16"/>
      <c r="E44" s="12"/>
      <c r="F44" s="17"/>
      <c r="G44" s="17"/>
      <c r="H44" s="17"/>
      <c r="I44" s="17"/>
      <c r="J44" s="17"/>
      <c r="K44" s="17"/>
      <c r="L44" s="17"/>
      <c r="M44" s="17"/>
      <c r="N44" s="17"/>
      <c r="O44" s="17"/>
      <c r="P44" s="9" t="str">
        <f aca="false">IF(H44="","",IF(L44="",H44,IF(H44=L44,H44,"DISCUSS")))</f>
        <v/>
      </c>
      <c r="Q44" s="9" t="str">
        <f aca="false">IF(I44="","",IF(M44="",I44,IF(I44=M44,I44,"DISCUSS")))</f>
        <v/>
      </c>
      <c r="R44" s="9" t="str">
        <f aca="false">IF(J44="","",IF(N44="",J44,IF(J44=N44,J44,"DISCUSS")))</f>
        <v/>
      </c>
      <c r="S44" s="9" t="str">
        <f aca="false">IF(K44="","",IF(O44="",K44,IF(K44=O44,K44,"DISCUSS")))</f>
        <v/>
      </c>
      <c r="T44" s="18" t="str">
        <f aca="false">IFERROR(AVERAGE(P44:S44),"")</f>
        <v/>
      </c>
      <c r="U44" s="9" t="n">
        <f aca="false">COUNT(P44:S44)</f>
        <v>0</v>
      </c>
      <c r="V44" s="9" t="n">
        <f aca="false">COUNTIF(P44:S44,"DISCUSS")</f>
        <v>0</v>
      </c>
      <c r="W44" s="9" t="str">
        <f aca="false">IF(U44=0,"",IF(V44&gt;0,"Resolve DISCUSS",IF(U44&lt;Tiers!$B$7,"Unrated",IF(T44&gt;=Tiers!$B$4,"High",IF(T44&gt;=Tiers!$B$5,"Medium","Low")))))</f>
        <v/>
      </c>
      <c r="X44" s="12"/>
    </row>
    <row r="45" customFormat="false" ht="15" hidden="false" customHeight="false" outlineLevel="0" collapsed="false">
      <c r="A45" s="15"/>
      <c r="B45" s="3"/>
      <c r="C45" s="16"/>
      <c r="D45" s="16"/>
      <c r="E45" s="12"/>
      <c r="F45" s="17"/>
      <c r="G45" s="17"/>
      <c r="H45" s="17"/>
      <c r="I45" s="17"/>
      <c r="J45" s="17"/>
      <c r="K45" s="17"/>
      <c r="L45" s="17"/>
      <c r="M45" s="17"/>
      <c r="N45" s="17"/>
      <c r="O45" s="17"/>
      <c r="P45" s="9" t="str">
        <f aca="false">IF(H45="","",IF(L45="",H45,IF(H45=L45,H45,"DISCUSS")))</f>
        <v/>
      </c>
      <c r="Q45" s="9" t="str">
        <f aca="false">IF(I45="","",IF(M45="",I45,IF(I45=M45,I45,"DISCUSS")))</f>
        <v/>
      </c>
      <c r="R45" s="9" t="str">
        <f aca="false">IF(J45="","",IF(N45="",J45,IF(J45=N45,J45,"DISCUSS")))</f>
        <v/>
      </c>
      <c r="S45" s="9" t="str">
        <f aca="false">IF(K45="","",IF(O45="",K45,IF(K45=O45,K45,"DISCUSS")))</f>
        <v/>
      </c>
      <c r="T45" s="18" t="str">
        <f aca="false">IFERROR(AVERAGE(P45:S45),"")</f>
        <v/>
      </c>
      <c r="U45" s="9" t="n">
        <f aca="false">COUNT(P45:S45)</f>
        <v>0</v>
      </c>
      <c r="V45" s="9" t="n">
        <f aca="false">COUNTIF(P45:S45,"DISCUSS")</f>
        <v>0</v>
      </c>
      <c r="W45" s="9" t="str">
        <f aca="false">IF(U45=0,"",IF(V45&gt;0,"Resolve DISCUSS",IF(U45&lt;Tiers!$B$7,"Unrated",IF(T45&gt;=Tiers!$B$4,"High",IF(T45&gt;=Tiers!$B$5,"Medium","Low")))))</f>
        <v/>
      </c>
      <c r="X45" s="12"/>
    </row>
    <row r="46" customFormat="false" ht="15" hidden="false" customHeight="false" outlineLevel="0" collapsed="false">
      <c r="A46" s="15"/>
      <c r="B46" s="3"/>
      <c r="C46" s="16"/>
      <c r="D46" s="16"/>
      <c r="E46" s="12"/>
      <c r="F46" s="17"/>
      <c r="G46" s="17"/>
      <c r="H46" s="17"/>
      <c r="I46" s="17"/>
      <c r="J46" s="17"/>
      <c r="K46" s="17"/>
      <c r="L46" s="17"/>
      <c r="M46" s="17"/>
      <c r="N46" s="17"/>
      <c r="O46" s="17"/>
      <c r="P46" s="9" t="str">
        <f aca="false">IF(H46="","",IF(L46="",H46,IF(H46=L46,H46,"DISCUSS")))</f>
        <v/>
      </c>
      <c r="Q46" s="9" t="str">
        <f aca="false">IF(I46="","",IF(M46="",I46,IF(I46=M46,I46,"DISCUSS")))</f>
        <v/>
      </c>
      <c r="R46" s="9" t="str">
        <f aca="false">IF(J46="","",IF(N46="",J46,IF(J46=N46,J46,"DISCUSS")))</f>
        <v/>
      </c>
      <c r="S46" s="9" t="str">
        <f aca="false">IF(K46="","",IF(O46="",K46,IF(K46=O46,K46,"DISCUSS")))</f>
        <v/>
      </c>
      <c r="T46" s="18" t="str">
        <f aca="false">IFERROR(AVERAGE(P46:S46),"")</f>
        <v/>
      </c>
      <c r="U46" s="9" t="n">
        <f aca="false">COUNT(P46:S46)</f>
        <v>0</v>
      </c>
      <c r="V46" s="9" t="n">
        <f aca="false">COUNTIF(P46:S46,"DISCUSS")</f>
        <v>0</v>
      </c>
      <c r="W46" s="9" t="str">
        <f aca="false">IF(U46=0,"",IF(V46&gt;0,"Resolve DISCUSS",IF(U46&lt;Tiers!$B$7,"Unrated",IF(T46&gt;=Tiers!$B$4,"High",IF(T46&gt;=Tiers!$B$5,"Medium","Low")))))</f>
        <v/>
      </c>
      <c r="X46" s="12"/>
    </row>
    <row r="47" customFormat="false" ht="15" hidden="false" customHeight="false" outlineLevel="0" collapsed="false">
      <c r="A47" s="15"/>
      <c r="B47" s="3"/>
      <c r="C47" s="16"/>
      <c r="D47" s="16"/>
      <c r="E47" s="12"/>
      <c r="F47" s="17"/>
      <c r="G47" s="17"/>
      <c r="H47" s="17"/>
      <c r="I47" s="17"/>
      <c r="J47" s="17"/>
      <c r="K47" s="17"/>
      <c r="L47" s="17"/>
      <c r="M47" s="17"/>
      <c r="N47" s="17"/>
      <c r="O47" s="17"/>
      <c r="P47" s="9" t="str">
        <f aca="false">IF(H47="","",IF(L47="",H47,IF(H47=L47,H47,"DISCUSS")))</f>
        <v/>
      </c>
      <c r="Q47" s="9" t="str">
        <f aca="false">IF(I47="","",IF(M47="",I47,IF(I47=M47,I47,"DISCUSS")))</f>
        <v/>
      </c>
      <c r="R47" s="9" t="str">
        <f aca="false">IF(J47="","",IF(N47="",J47,IF(J47=N47,J47,"DISCUSS")))</f>
        <v/>
      </c>
      <c r="S47" s="9" t="str">
        <f aca="false">IF(K47="","",IF(O47="",K47,IF(K47=O47,K47,"DISCUSS")))</f>
        <v/>
      </c>
      <c r="T47" s="18" t="str">
        <f aca="false">IFERROR(AVERAGE(P47:S47),"")</f>
        <v/>
      </c>
      <c r="U47" s="9" t="n">
        <f aca="false">COUNT(P47:S47)</f>
        <v>0</v>
      </c>
      <c r="V47" s="9" t="n">
        <f aca="false">COUNTIF(P47:S47,"DISCUSS")</f>
        <v>0</v>
      </c>
      <c r="W47" s="9" t="str">
        <f aca="false">IF(U47=0,"",IF(V47&gt;0,"Resolve DISCUSS",IF(U47&lt;Tiers!$B$7,"Unrated",IF(T47&gt;=Tiers!$B$4,"High",IF(T47&gt;=Tiers!$B$5,"Medium","Low")))))</f>
        <v/>
      </c>
      <c r="X47" s="12"/>
    </row>
    <row r="48" customFormat="false" ht="15" hidden="false" customHeight="false" outlineLevel="0" collapsed="false">
      <c r="A48" s="15"/>
      <c r="B48" s="3"/>
      <c r="C48" s="16"/>
      <c r="D48" s="16"/>
      <c r="E48" s="12"/>
      <c r="F48" s="17"/>
      <c r="G48" s="17"/>
      <c r="H48" s="17"/>
      <c r="I48" s="17"/>
      <c r="J48" s="17"/>
      <c r="K48" s="17"/>
      <c r="L48" s="17"/>
      <c r="M48" s="17"/>
      <c r="N48" s="17"/>
      <c r="O48" s="17"/>
      <c r="P48" s="9" t="str">
        <f aca="false">IF(H48="","",IF(L48="",H48,IF(H48=L48,H48,"DISCUSS")))</f>
        <v/>
      </c>
      <c r="Q48" s="9" t="str">
        <f aca="false">IF(I48="","",IF(M48="",I48,IF(I48=M48,I48,"DISCUSS")))</f>
        <v/>
      </c>
      <c r="R48" s="9" t="str">
        <f aca="false">IF(J48="","",IF(N48="",J48,IF(J48=N48,J48,"DISCUSS")))</f>
        <v/>
      </c>
      <c r="S48" s="9" t="str">
        <f aca="false">IF(K48="","",IF(O48="",K48,IF(K48=O48,K48,"DISCUSS")))</f>
        <v/>
      </c>
      <c r="T48" s="18" t="str">
        <f aca="false">IFERROR(AVERAGE(P48:S48),"")</f>
        <v/>
      </c>
      <c r="U48" s="9" t="n">
        <f aca="false">COUNT(P48:S48)</f>
        <v>0</v>
      </c>
      <c r="V48" s="9" t="n">
        <f aca="false">COUNTIF(P48:S48,"DISCUSS")</f>
        <v>0</v>
      </c>
      <c r="W48" s="9" t="str">
        <f aca="false">IF(U48=0,"",IF(V48&gt;0,"Resolve DISCUSS",IF(U48&lt;Tiers!$B$7,"Unrated",IF(T48&gt;=Tiers!$B$4,"High",IF(T48&gt;=Tiers!$B$5,"Medium","Low")))))</f>
        <v/>
      </c>
      <c r="X48" s="12"/>
    </row>
    <row r="49" customFormat="false" ht="15" hidden="false" customHeight="false" outlineLevel="0" collapsed="false">
      <c r="A49" s="15"/>
      <c r="B49" s="3"/>
      <c r="C49" s="16"/>
      <c r="D49" s="16"/>
      <c r="E49" s="12"/>
      <c r="F49" s="17"/>
      <c r="G49" s="17"/>
      <c r="H49" s="17"/>
      <c r="I49" s="17"/>
      <c r="J49" s="17"/>
      <c r="K49" s="17"/>
      <c r="L49" s="17"/>
      <c r="M49" s="17"/>
      <c r="N49" s="17"/>
      <c r="O49" s="17"/>
      <c r="P49" s="9" t="str">
        <f aca="false">IF(H49="","",IF(L49="",H49,IF(H49=L49,H49,"DISCUSS")))</f>
        <v/>
      </c>
      <c r="Q49" s="9" t="str">
        <f aca="false">IF(I49="","",IF(M49="",I49,IF(I49=M49,I49,"DISCUSS")))</f>
        <v/>
      </c>
      <c r="R49" s="9" t="str">
        <f aca="false">IF(J49="","",IF(N49="",J49,IF(J49=N49,J49,"DISCUSS")))</f>
        <v/>
      </c>
      <c r="S49" s="9" t="str">
        <f aca="false">IF(K49="","",IF(O49="",K49,IF(K49=O49,K49,"DISCUSS")))</f>
        <v/>
      </c>
      <c r="T49" s="18" t="str">
        <f aca="false">IFERROR(AVERAGE(P49:S49),"")</f>
        <v/>
      </c>
      <c r="U49" s="9" t="n">
        <f aca="false">COUNT(P49:S49)</f>
        <v>0</v>
      </c>
      <c r="V49" s="9" t="n">
        <f aca="false">COUNTIF(P49:S49,"DISCUSS")</f>
        <v>0</v>
      </c>
      <c r="W49" s="9" t="str">
        <f aca="false">IF(U49=0,"",IF(V49&gt;0,"Resolve DISCUSS",IF(U49&lt;Tiers!$B$7,"Unrated",IF(T49&gt;=Tiers!$B$4,"High",IF(T49&gt;=Tiers!$B$5,"Medium","Low")))))</f>
        <v/>
      </c>
      <c r="X49" s="12"/>
    </row>
    <row r="50" customFormat="false" ht="15" hidden="false" customHeight="false" outlineLevel="0" collapsed="false">
      <c r="A50" s="15"/>
      <c r="B50" s="3"/>
      <c r="C50" s="16"/>
      <c r="D50" s="16"/>
      <c r="E50" s="12"/>
      <c r="F50" s="17"/>
      <c r="G50" s="17"/>
      <c r="H50" s="17"/>
      <c r="I50" s="17"/>
      <c r="J50" s="17"/>
      <c r="K50" s="17"/>
      <c r="L50" s="17"/>
      <c r="M50" s="17"/>
      <c r="N50" s="17"/>
      <c r="O50" s="17"/>
      <c r="P50" s="9" t="str">
        <f aca="false">IF(H50="","",IF(L50="",H50,IF(H50=L50,H50,"DISCUSS")))</f>
        <v/>
      </c>
      <c r="Q50" s="9" t="str">
        <f aca="false">IF(I50="","",IF(M50="",I50,IF(I50=M50,I50,"DISCUSS")))</f>
        <v/>
      </c>
      <c r="R50" s="9" t="str">
        <f aca="false">IF(J50="","",IF(N50="",J50,IF(J50=N50,J50,"DISCUSS")))</f>
        <v/>
      </c>
      <c r="S50" s="9" t="str">
        <f aca="false">IF(K50="","",IF(O50="",K50,IF(K50=O50,K50,"DISCUSS")))</f>
        <v/>
      </c>
      <c r="T50" s="18" t="str">
        <f aca="false">IFERROR(AVERAGE(P50:S50),"")</f>
        <v/>
      </c>
      <c r="U50" s="9" t="n">
        <f aca="false">COUNT(P50:S50)</f>
        <v>0</v>
      </c>
      <c r="V50" s="9" t="n">
        <f aca="false">COUNTIF(P50:S50,"DISCUSS")</f>
        <v>0</v>
      </c>
      <c r="W50" s="9" t="str">
        <f aca="false">IF(U50=0,"",IF(V50&gt;0,"Resolve DISCUSS",IF(U50&lt;Tiers!$B$7,"Unrated",IF(T50&gt;=Tiers!$B$4,"High",IF(T50&gt;=Tiers!$B$5,"Medium","Low")))))</f>
        <v/>
      </c>
      <c r="X50" s="12"/>
    </row>
    <row r="51" customFormat="false" ht="15" hidden="false" customHeight="false" outlineLevel="0" collapsed="false">
      <c r="A51" s="15"/>
      <c r="B51" s="3"/>
      <c r="C51" s="16"/>
      <c r="D51" s="16"/>
      <c r="E51" s="12"/>
      <c r="F51" s="17"/>
      <c r="G51" s="17"/>
      <c r="H51" s="17"/>
      <c r="I51" s="17"/>
      <c r="J51" s="17"/>
      <c r="K51" s="17"/>
      <c r="L51" s="17"/>
      <c r="M51" s="17"/>
      <c r="N51" s="17"/>
      <c r="O51" s="17"/>
      <c r="P51" s="9" t="str">
        <f aca="false">IF(H51="","",IF(L51="",H51,IF(H51=L51,H51,"DISCUSS")))</f>
        <v/>
      </c>
      <c r="Q51" s="9" t="str">
        <f aca="false">IF(I51="","",IF(M51="",I51,IF(I51=M51,I51,"DISCUSS")))</f>
        <v/>
      </c>
      <c r="R51" s="9" t="str">
        <f aca="false">IF(J51="","",IF(N51="",J51,IF(J51=N51,J51,"DISCUSS")))</f>
        <v/>
      </c>
      <c r="S51" s="9" t="str">
        <f aca="false">IF(K51="","",IF(O51="",K51,IF(K51=O51,K51,"DISCUSS")))</f>
        <v/>
      </c>
      <c r="T51" s="18" t="str">
        <f aca="false">IFERROR(AVERAGE(P51:S51),"")</f>
        <v/>
      </c>
      <c r="U51" s="9" t="n">
        <f aca="false">COUNT(P51:S51)</f>
        <v>0</v>
      </c>
      <c r="V51" s="9" t="n">
        <f aca="false">COUNTIF(P51:S51,"DISCUSS")</f>
        <v>0</v>
      </c>
      <c r="W51" s="9" t="str">
        <f aca="false">IF(U51=0,"",IF(V51&gt;0,"Resolve DISCUSS",IF(U51&lt;Tiers!$B$7,"Unrated",IF(T51&gt;=Tiers!$B$4,"High",IF(T51&gt;=Tiers!$B$5,"Medium","Low")))))</f>
        <v/>
      </c>
      <c r="X51" s="12"/>
    </row>
    <row r="52" customFormat="false" ht="15" hidden="false" customHeight="false" outlineLevel="0" collapsed="false">
      <c r="A52" s="15"/>
      <c r="B52" s="3"/>
      <c r="C52" s="16"/>
      <c r="D52" s="16"/>
      <c r="E52" s="12"/>
      <c r="F52" s="17"/>
      <c r="G52" s="17"/>
      <c r="H52" s="17"/>
      <c r="I52" s="17"/>
      <c r="J52" s="17"/>
      <c r="K52" s="17"/>
      <c r="L52" s="17"/>
      <c r="M52" s="17"/>
      <c r="N52" s="17"/>
      <c r="O52" s="17"/>
      <c r="P52" s="9" t="str">
        <f aca="false">IF(H52="","",IF(L52="",H52,IF(H52=L52,H52,"DISCUSS")))</f>
        <v/>
      </c>
      <c r="Q52" s="9" t="str">
        <f aca="false">IF(I52="","",IF(M52="",I52,IF(I52=M52,I52,"DISCUSS")))</f>
        <v/>
      </c>
      <c r="R52" s="9" t="str">
        <f aca="false">IF(J52="","",IF(N52="",J52,IF(J52=N52,J52,"DISCUSS")))</f>
        <v/>
      </c>
      <c r="S52" s="9" t="str">
        <f aca="false">IF(K52="","",IF(O52="",K52,IF(K52=O52,K52,"DISCUSS")))</f>
        <v/>
      </c>
      <c r="T52" s="18" t="str">
        <f aca="false">IFERROR(AVERAGE(P52:S52),"")</f>
        <v/>
      </c>
      <c r="U52" s="9" t="n">
        <f aca="false">COUNT(P52:S52)</f>
        <v>0</v>
      </c>
      <c r="V52" s="9" t="n">
        <f aca="false">COUNTIF(P52:S52,"DISCUSS")</f>
        <v>0</v>
      </c>
      <c r="W52" s="9" t="str">
        <f aca="false">IF(U52=0,"",IF(V52&gt;0,"Resolve DISCUSS",IF(U52&lt;Tiers!$B$7,"Unrated",IF(T52&gt;=Tiers!$B$4,"High",IF(T52&gt;=Tiers!$B$5,"Medium","Low")))))</f>
        <v/>
      </c>
      <c r="X52" s="12"/>
    </row>
    <row r="53" customFormat="false" ht="15" hidden="false" customHeight="false" outlineLevel="0" collapsed="false">
      <c r="A53" s="15"/>
      <c r="B53" s="3"/>
      <c r="C53" s="16"/>
      <c r="D53" s="16"/>
      <c r="E53" s="12"/>
      <c r="F53" s="17"/>
      <c r="G53" s="17"/>
      <c r="H53" s="17"/>
      <c r="I53" s="17"/>
      <c r="J53" s="17"/>
      <c r="K53" s="17"/>
      <c r="L53" s="17"/>
      <c r="M53" s="17"/>
      <c r="N53" s="17"/>
      <c r="O53" s="17"/>
      <c r="P53" s="9" t="str">
        <f aca="false">IF(H53="","",IF(L53="",H53,IF(H53=L53,H53,"DISCUSS")))</f>
        <v/>
      </c>
      <c r="Q53" s="9" t="str">
        <f aca="false">IF(I53="","",IF(M53="",I53,IF(I53=M53,I53,"DISCUSS")))</f>
        <v/>
      </c>
      <c r="R53" s="9" t="str">
        <f aca="false">IF(J53="","",IF(N53="",J53,IF(J53=N53,J53,"DISCUSS")))</f>
        <v/>
      </c>
      <c r="S53" s="9" t="str">
        <f aca="false">IF(K53="","",IF(O53="",K53,IF(K53=O53,K53,"DISCUSS")))</f>
        <v/>
      </c>
      <c r="T53" s="18" t="str">
        <f aca="false">IFERROR(AVERAGE(P53:S53),"")</f>
        <v/>
      </c>
      <c r="U53" s="9" t="n">
        <f aca="false">COUNT(P53:S53)</f>
        <v>0</v>
      </c>
      <c r="V53" s="9" t="n">
        <f aca="false">COUNTIF(P53:S53,"DISCUSS")</f>
        <v>0</v>
      </c>
      <c r="W53" s="9" t="str">
        <f aca="false">IF(U53=0,"",IF(V53&gt;0,"Resolve DISCUSS",IF(U53&lt;Tiers!$B$7,"Unrated",IF(T53&gt;=Tiers!$B$4,"High",IF(T53&gt;=Tiers!$B$5,"Medium","Low")))))</f>
        <v/>
      </c>
      <c r="X53" s="12"/>
    </row>
    <row r="54" customFormat="false" ht="15" hidden="false" customHeight="false" outlineLevel="0" collapsed="false">
      <c r="A54" s="15"/>
      <c r="B54" s="3"/>
      <c r="C54" s="16"/>
      <c r="D54" s="16"/>
      <c r="E54" s="12"/>
      <c r="F54" s="17"/>
      <c r="G54" s="17"/>
      <c r="H54" s="17"/>
      <c r="I54" s="17"/>
      <c r="J54" s="17"/>
      <c r="K54" s="17"/>
      <c r="L54" s="17"/>
      <c r="M54" s="17"/>
      <c r="N54" s="17"/>
      <c r="O54" s="17"/>
      <c r="P54" s="9" t="str">
        <f aca="false">IF(H54="","",IF(L54="",H54,IF(H54=L54,H54,"DISCUSS")))</f>
        <v/>
      </c>
      <c r="Q54" s="9" t="str">
        <f aca="false">IF(I54="","",IF(M54="",I54,IF(I54=M54,I54,"DISCUSS")))</f>
        <v/>
      </c>
      <c r="R54" s="9" t="str">
        <f aca="false">IF(J54="","",IF(N54="",J54,IF(J54=N54,J54,"DISCUSS")))</f>
        <v/>
      </c>
      <c r="S54" s="9" t="str">
        <f aca="false">IF(K54="","",IF(O54="",K54,IF(K54=O54,K54,"DISCUSS")))</f>
        <v/>
      </c>
      <c r="T54" s="18" t="str">
        <f aca="false">IFERROR(AVERAGE(P54:S54),"")</f>
        <v/>
      </c>
      <c r="U54" s="9" t="n">
        <f aca="false">COUNT(P54:S54)</f>
        <v>0</v>
      </c>
      <c r="V54" s="9" t="n">
        <f aca="false">COUNTIF(P54:S54,"DISCUSS")</f>
        <v>0</v>
      </c>
      <c r="W54" s="9" t="str">
        <f aca="false">IF(U54=0,"",IF(V54&gt;0,"Resolve DISCUSS",IF(U54&lt;Tiers!$B$7,"Unrated",IF(T54&gt;=Tiers!$B$4,"High",IF(T54&gt;=Tiers!$B$5,"Medium","Low")))))</f>
        <v/>
      </c>
      <c r="X54" s="12"/>
    </row>
    <row r="55" customFormat="false" ht="15" hidden="false" customHeight="false" outlineLevel="0" collapsed="false">
      <c r="A55" s="15"/>
      <c r="B55" s="3"/>
      <c r="C55" s="16"/>
      <c r="D55" s="16"/>
      <c r="E55" s="12"/>
      <c r="F55" s="17"/>
      <c r="G55" s="17"/>
      <c r="H55" s="17"/>
      <c r="I55" s="17"/>
      <c r="J55" s="17"/>
      <c r="K55" s="17"/>
      <c r="L55" s="17"/>
      <c r="M55" s="17"/>
      <c r="N55" s="17"/>
      <c r="O55" s="17"/>
      <c r="P55" s="9" t="str">
        <f aca="false">IF(H55="","",IF(L55="",H55,IF(H55=L55,H55,"DISCUSS")))</f>
        <v/>
      </c>
      <c r="Q55" s="9" t="str">
        <f aca="false">IF(I55="","",IF(M55="",I55,IF(I55=M55,I55,"DISCUSS")))</f>
        <v/>
      </c>
      <c r="R55" s="9" t="str">
        <f aca="false">IF(J55="","",IF(N55="",J55,IF(J55=N55,J55,"DISCUSS")))</f>
        <v/>
      </c>
      <c r="S55" s="9" t="str">
        <f aca="false">IF(K55="","",IF(O55="",K55,IF(K55=O55,K55,"DISCUSS")))</f>
        <v/>
      </c>
      <c r="T55" s="18" t="str">
        <f aca="false">IFERROR(AVERAGE(P55:S55),"")</f>
        <v/>
      </c>
      <c r="U55" s="9" t="n">
        <f aca="false">COUNT(P55:S55)</f>
        <v>0</v>
      </c>
      <c r="V55" s="9" t="n">
        <f aca="false">COUNTIF(P55:S55,"DISCUSS")</f>
        <v>0</v>
      </c>
      <c r="W55" s="9" t="str">
        <f aca="false">IF(U55=0,"",IF(V55&gt;0,"Resolve DISCUSS",IF(U55&lt;Tiers!$B$7,"Unrated",IF(T55&gt;=Tiers!$B$4,"High",IF(T55&gt;=Tiers!$B$5,"Medium","Low")))))</f>
        <v/>
      </c>
      <c r="X55" s="12"/>
    </row>
  </sheetData>
  <dataValidations count="2">
    <dataValidation allowBlank="true" errorStyle="stop" operator="between" showDropDown="false" showErrorMessage="false" showInputMessage="false" sqref="H6:O55" type="list">
      <formula1>"0,1,2,NA"</formula1>
      <formula2>0</formula2>
    </dataValidation>
    <dataValidation allowBlank="true" errorStyle="stop" operator="between" showDropDown="false" showErrorMessage="false" showInputMessage="false" sqref="G6:G55" type="list">
      <formula1>Lists!$D$2:$D$6</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20"/>
    <col collapsed="false" customWidth="true" hidden="false" outlineLevel="0" max="3" min="3" style="0" width="34"/>
    <col collapsed="false" customWidth="true" hidden="false" outlineLevel="0" max="4" min="4" style="0" width="40"/>
    <col collapsed="false" customWidth="true" hidden="false" outlineLevel="0" max="5" min="5" style="0" width="36"/>
    <col collapsed="false" customWidth="true" hidden="false" outlineLevel="0" max="6" min="6" style="0" width="40"/>
    <col collapsed="false" customWidth="true" hidden="false" outlineLevel="0" max="7" min="7" style="0" width="34"/>
    <col collapsed="false" customWidth="true" hidden="false" outlineLevel="0" max="8" min="8" style="0" width="32"/>
  </cols>
  <sheetData>
    <row r="1" customFormat="false" ht="17.35" hidden="false" customHeight="false" outlineLevel="0" collapsed="false">
      <c r="A1" s="1" t="s">
        <v>750</v>
      </c>
    </row>
    <row r="2" customFormat="false" ht="15" hidden="false" customHeight="false" outlineLevel="0" collapsed="false">
      <c r="A2" s="7" t="s">
        <v>751</v>
      </c>
    </row>
    <row r="4" customFormat="false" ht="31.5" hidden="false" customHeight="true" outlineLevel="0" collapsed="false">
      <c r="A4" s="5" t="s">
        <v>63</v>
      </c>
      <c r="B4" s="5" t="s">
        <v>752</v>
      </c>
      <c r="C4" s="5" t="s">
        <v>753</v>
      </c>
      <c r="D4" s="5" t="s">
        <v>754</v>
      </c>
      <c r="E4" s="5" t="s">
        <v>755</v>
      </c>
      <c r="F4" s="5" t="s">
        <v>756</v>
      </c>
      <c r="G4" s="5" t="s">
        <v>757</v>
      </c>
      <c r="H4" s="5" t="s">
        <v>758</v>
      </c>
    </row>
    <row r="5" customFormat="false" ht="94.5" hidden="false" customHeight="true" outlineLevel="0" collapsed="false">
      <c r="A5" s="2" t="s">
        <v>759</v>
      </c>
      <c r="B5" s="2" t="s">
        <v>760</v>
      </c>
      <c r="C5" s="3" t="s">
        <v>761</v>
      </c>
      <c r="D5" s="3" t="s">
        <v>762</v>
      </c>
      <c r="E5" s="3" t="s">
        <v>763</v>
      </c>
      <c r="F5" s="3" t="s">
        <v>764</v>
      </c>
      <c r="G5" s="3" t="s">
        <v>765</v>
      </c>
      <c r="H5" s="3" t="s">
        <v>766</v>
      </c>
    </row>
    <row r="6" customFormat="false" ht="94.5" hidden="false" customHeight="true" outlineLevel="0" collapsed="false">
      <c r="A6" s="2" t="s">
        <v>767</v>
      </c>
      <c r="B6" s="2" t="s">
        <v>768</v>
      </c>
      <c r="C6" s="3" t="s">
        <v>769</v>
      </c>
      <c r="D6" s="3" t="s">
        <v>770</v>
      </c>
      <c r="E6" s="3" t="s">
        <v>771</v>
      </c>
      <c r="F6" s="3" t="s">
        <v>772</v>
      </c>
      <c r="G6" s="3" t="s">
        <v>773</v>
      </c>
      <c r="H6" s="3" t="s">
        <v>774</v>
      </c>
    </row>
    <row r="7" customFormat="false" ht="94.5" hidden="false" customHeight="true" outlineLevel="0" collapsed="false">
      <c r="A7" s="2" t="s">
        <v>775</v>
      </c>
      <c r="B7" s="2" t="s">
        <v>776</v>
      </c>
      <c r="C7" s="3" t="s">
        <v>777</v>
      </c>
      <c r="D7" s="3" t="s">
        <v>778</v>
      </c>
      <c r="E7" s="3" t="s">
        <v>779</v>
      </c>
      <c r="F7" s="3" t="s">
        <v>780</v>
      </c>
      <c r="G7" s="3" t="s">
        <v>781</v>
      </c>
      <c r="H7" s="3" t="s">
        <v>782</v>
      </c>
    </row>
    <row r="8" customFormat="false" ht="94.5" hidden="false" customHeight="true" outlineLevel="0" collapsed="false">
      <c r="A8" s="2" t="s">
        <v>783</v>
      </c>
      <c r="B8" s="2" t="s">
        <v>784</v>
      </c>
      <c r="C8" s="3" t="s">
        <v>785</v>
      </c>
      <c r="D8" s="3" t="s">
        <v>786</v>
      </c>
      <c r="E8" s="3" t="s">
        <v>787</v>
      </c>
      <c r="F8" s="3" t="s">
        <v>788</v>
      </c>
      <c r="G8" s="3" t="s">
        <v>789</v>
      </c>
      <c r="H8" s="3" t="s">
        <v>790</v>
      </c>
    </row>
    <row r="9" customFormat="false" ht="94.5" hidden="false" customHeight="true" outlineLevel="0" collapsed="false">
      <c r="A9" s="2" t="s">
        <v>791</v>
      </c>
      <c r="B9" s="2" t="s">
        <v>792</v>
      </c>
      <c r="C9" s="3" t="s">
        <v>793</v>
      </c>
      <c r="D9" s="3" t="s">
        <v>794</v>
      </c>
      <c r="E9" s="3" t="s">
        <v>795</v>
      </c>
      <c r="F9" s="3" t="s">
        <v>796</v>
      </c>
      <c r="G9" s="3" t="s">
        <v>797</v>
      </c>
      <c r="H9" s="3" t="s">
        <v>798</v>
      </c>
    </row>
    <row r="10" customFormat="false" ht="94.5" hidden="false" customHeight="true" outlineLevel="0" collapsed="false">
      <c r="A10" s="2" t="s">
        <v>799</v>
      </c>
      <c r="B10" s="2" t="s">
        <v>800</v>
      </c>
      <c r="C10" s="3" t="s">
        <v>801</v>
      </c>
      <c r="D10" s="3" t="s">
        <v>802</v>
      </c>
      <c r="E10" s="3" t="s">
        <v>803</v>
      </c>
      <c r="F10" s="3" t="s">
        <v>804</v>
      </c>
      <c r="G10" s="3" t="s">
        <v>781</v>
      </c>
      <c r="H10" s="3" t="s">
        <v>805</v>
      </c>
    </row>
    <row r="11" customFormat="false" ht="94.5" hidden="false" customHeight="true" outlineLevel="0" collapsed="false">
      <c r="A11" s="2" t="s">
        <v>806</v>
      </c>
      <c r="B11" s="2" t="s">
        <v>807</v>
      </c>
      <c r="C11" s="3" t="s">
        <v>808</v>
      </c>
      <c r="D11" s="3" t="s">
        <v>809</v>
      </c>
      <c r="E11" s="3" t="s">
        <v>810</v>
      </c>
      <c r="F11" s="3" t="s">
        <v>811</v>
      </c>
      <c r="G11" s="3" t="s">
        <v>812</v>
      </c>
      <c r="H11" s="3" t="s">
        <v>813</v>
      </c>
    </row>
    <row r="12" customFormat="false" ht="94.5" hidden="false" customHeight="true" outlineLevel="0" collapsed="false">
      <c r="A12" s="2" t="s">
        <v>814</v>
      </c>
      <c r="B12" s="2" t="s">
        <v>815</v>
      </c>
      <c r="C12" s="3" t="s">
        <v>816</v>
      </c>
      <c r="D12" s="3" t="s">
        <v>817</v>
      </c>
      <c r="E12" s="3" t="s">
        <v>818</v>
      </c>
      <c r="F12" s="3" t="s">
        <v>819</v>
      </c>
      <c r="G12" s="3" t="s">
        <v>820</v>
      </c>
      <c r="H12" s="3" t="s">
        <v>821</v>
      </c>
    </row>
    <row r="13" customFormat="false" ht="94.5" hidden="false" customHeight="true" outlineLevel="0" collapsed="false">
      <c r="A13" s="2" t="s">
        <v>822</v>
      </c>
      <c r="B13" s="2" t="s">
        <v>823</v>
      </c>
      <c r="C13" s="3" t="s">
        <v>824</v>
      </c>
      <c r="D13" s="3" t="s">
        <v>825</v>
      </c>
      <c r="E13" s="3" t="s">
        <v>826</v>
      </c>
      <c r="F13" s="3" t="s">
        <v>827</v>
      </c>
      <c r="G13" s="3" t="s">
        <v>828</v>
      </c>
      <c r="H13" s="3" t="s">
        <v>829</v>
      </c>
    </row>
    <row r="15" customFormat="false" ht="15" hidden="false" customHeight="false" outlineLevel="0" collapsed="false">
      <c r="A15" s="4" t="s">
        <v>830</v>
      </c>
    </row>
    <row r="16" customFormat="false" ht="42" hidden="false" customHeight="true" outlineLevel="0" collapsed="false">
      <c r="A16" s="19" t="s">
        <v>26</v>
      </c>
      <c r="B16" s="19"/>
      <c r="C16" s="20" t="s">
        <v>831</v>
      </c>
      <c r="D16" s="20"/>
      <c r="E16" s="20"/>
      <c r="F16" s="20"/>
      <c r="G16" s="20"/>
      <c r="H16" s="20"/>
    </row>
    <row r="17" customFormat="false" ht="42" hidden="false" customHeight="true" outlineLevel="0" collapsed="false">
      <c r="A17" s="19" t="s">
        <v>737</v>
      </c>
      <c r="B17" s="19"/>
      <c r="C17" s="20" t="s">
        <v>832</v>
      </c>
      <c r="D17" s="20"/>
      <c r="E17" s="20"/>
      <c r="F17" s="20"/>
      <c r="G17" s="20"/>
      <c r="H17" s="20"/>
    </row>
    <row r="18" customFormat="false" ht="42" hidden="false" customHeight="true" outlineLevel="0" collapsed="false">
      <c r="A18" s="19" t="s">
        <v>690</v>
      </c>
      <c r="B18" s="19"/>
      <c r="C18" s="20" t="s">
        <v>833</v>
      </c>
      <c r="D18" s="20"/>
      <c r="E18" s="20"/>
      <c r="F18" s="20"/>
      <c r="G18" s="20"/>
      <c r="H18" s="20"/>
    </row>
    <row r="22" customFormat="false" ht="15" hidden="false" customHeight="false" outlineLevel="0" collapsed="false">
      <c r="A22" s="4" t="s">
        <v>834</v>
      </c>
    </row>
    <row r="23" customFormat="false" ht="31.5" hidden="false" customHeight="true" outlineLevel="0" collapsed="false">
      <c r="A23" s="5" t="s">
        <v>63</v>
      </c>
      <c r="B23" s="5" t="s">
        <v>752</v>
      </c>
      <c r="C23" s="5" t="s">
        <v>753</v>
      </c>
      <c r="D23" s="5" t="s">
        <v>754</v>
      </c>
      <c r="E23" s="5" t="s">
        <v>755</v>
      </c>
      <c r="F23" s="5" t="s">
        <v>756</v>
      </c>
      <c r="G23" s="5" t="s">
        <v>757</v>
      </c>
      <c r="H23" s="5" t="s">
        <v>758</v>
      </c>
    </row>
    <row r="24" customFormat="false" ht="69.75" hidden="false" customHeight="true" outlineLevel="0" collapsed="false">
      <c r="A24" s="2" t="s">
        <v>835</v>
      </c>
      <c r="B24" s="2" t="s">
        <v>836</v>
      </c>
      <c r="C24" s="3" t="s">
        <v>837</v>
      </c>
      <c r="D24" s="3" t="s">
        <v>838</v>
      </c>
      <c r="E24" s="3" t="s">
        <v>839</v>
      </c>
      <c r="F24" s="3" t="s">
        <v>840</v>
      </c>
      <c r="G24" s="3" t="s">
        <v>820</v>
      </c>
      <c r="H24" s="3" t="s">
        <v>841</v>
      </c>
    </row>
    <row r="25" customFormat="false" ht="69.75" hidden="false" customHeight="true" outlineLevel="0" collapsed="false">
      <c r="A25" s="2" t="s">
        <v>842</v>
      </c>
      <c r="B25" s="2" t="s">
        <v>843</v>
      </c>
      <c r="C25" s="3" t="s">
        <v>844</v>
      </c>
      <c r="D25" s="3" t="s">
        <v>845</v>
      </c>
      <c r="E25" s="3" t="s">
        <v>846</v>
      </c>
      <c r="F25" s="3" t="s">
        <v>847</v>
      </c>
      <c r="G25" s="3" t="s">
        <v>820</v>
      </c>
      <c r="H25" s="3" t="s">
        <v>848</v>
      </c>
    </row>
    <row r="26" customFormat="false" ht="69.75" hidden="false" customHeight="true" outlineLevel="0" collapsed="false">
      <c r="A26" s="2" t="s">
        <v>849</v>
      </c>
      <c r="B26" s="2" t="s">
        <v>850</v>
      </c>
      <c r="C26" s="3" t="s">
        <v>851</v>
      </c>
      <c r="D26" s="3" t="s">
        <v>852</v>
      </c>
      <c r="E26" s="3" t="s">
        <v>853</v>
      </c>
      <c r="F26" s="3" t="s">
        <v>854</v>
      </c>
      <c r="G26" s="3" t="s">
        <v>820</v>
      </c>
      <c r="H26" s="3" t="s">
        <v>855</v>
      </c>
    </row>
    <row r="27" customFormat="false" ht="69.75" hidden="false" customHeight="true" outlineLevel="0" collapsed="false">
      <c r="A27" s="2" t="s">
        <v>814</v>
      </c>
      <c r="B27" s="2" t="s">
        <v>815</v>
      </c>
      <c r="C27" s="3" t="s">
        <v>856</v>
      </c>
      <c r="D27" s="3" t="s">
        <v>857</v>
      </c>
      <c r="E27" s="3" t="s">
        <v>858</v>
      </c>
      <c r="F27" s="3" t="s">
        <v>859</v>
      </c>
      <c r="G27" s="3" t="s">
        <v>820</v>
      </c>
      <c r="H27" s="3" t="s">
        <v>860</v>
      </c>
    </row>
  </sheetData>
  <mergeCells count="6">
    <mergeCell ref="A16:B16"/>
    <mergeCell ref="C16:H16"/>
    <mergeCell ref="A17:B17"/>
    <mergeCell ref="C17:H17"/>
    <mergeCell ref="A18:B18"/>
    <mergeCell ref="C18:H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42"/>
    <col collapsed="false" customWidth="true" hidden="false" outlineLevel="0" max="7" min="3" style="0" width="24"/>
    <col collapsed="false" customWidth="true" hidden="false" outlineLevel="0" max="12" min="8" style="0" width="10"/>
  </cols>
  <sheetData>
    <row r="1" customFormat="false" ht="17.35" hidden="false" customHeight="false" outlineLevel="0" collapsed="false">
      <c r="A1" s="1" t="s">
        <v>861</v>
      </c>
    </row>
    <row r="2" customFormat="false" ht="30" hidden="false" customHeight="true" outlineLevel="0" collapsed="false">
      <c r="A2" s="11" t="s">
        <v>862</v>
      </c>
      <c r="B2" s="11"/>
      <c r="C2" s="11"/>
      <c r="D2" s="11"/>
      <c r="E2" s="11"/>
      <c r="F2" s="11"/>
      <c r="G2" s="11"/>
      <c r="H2" s="11"/>
      <c r="I2" s="11"/>
      <c r="J2" s="11"/>
      <c r="K2" s="11"/>
      <c r="L2" s="11"/>
    </row>
    <row r="3" customFormat="false" ht="15" hidden="false" customHeight="false" outlineLevel="0" collapsed="false">
      <c r="A3" s="4" t="s">
        <v>863</v>
      </c>
    </row>
    <row r="4" customFormat="false" ht="15" hidden="false" customHeight="false" outlineLevel="0" collapsed="false">
      <c r="A4" s="21" t="s">
        <v>864</v>
      </c>
      <c r="B4" s="8" t="n">
        <v>1.5</v>
      </c>
      <c r="C4" s="7" t="s">
        <v>865</v>
      </c>
    </row>
    <row r="5" customFormat="false" ht="15" hidden="false" customHeight="false" outlineLevel="0" collapsed="false">
      <c r="A5" s="21" t="s">
        <v>866</v>
      </c>
      <c r="B5" s="8" t="n">
        <v>1</v>
      </c>
      <c r="C5" s="7" t="s">
        <v>867</v>
      </c>
    </row>
    <row r="6" customFormat="false" ht="15" hidden="false" customHeight="false" outlineLevel="0" collapsed="false">
      <c r="A6" s="21" t="s">
        <v>868</v>
      </c>
      <c r="B6" s="8" t="n">
        <v>6</v>
      </c>
      <c r="C6" s="7" t="s">
        <v>869</v>
      </c>
    </row>
    <row r="7" customFormat="false" ht="15" hidden="false" customHeight="false" outlineLevel="0" collapsed="false">
      <c r="A7" s="21" t="s">
        <v>870</v>
      </c>
      <c r="B7" s="8" t="n">
        <v>3</v>
      </c>
      <c r="C7" s="7" t="s">
        <v>871</v>
      </c>
    </row>
    <row r="8" customFormat="false" ht="15" hidden="false" customHeight="false" outlineLevel="0" collapsed="false">
      <c r="A8" s="7" t="s">
        <v>872</v>
      </c>
    </row>
    <row r="10" customFormat="false" ht="15" hidden="false" customHeight="false" outlineLevel="0" collapsed="false">
      <c r="A10" s="4" t="s">
        <v>873</v>
      </c>
    </row>
    <row r="11" customFormat="false" ht="31.5" hidden="false" customHeight="true" outlineLevel="0" collapsed="false">
      <c r="A11" s="5" t="s">
        <v>874</v>
      </c>
      <c r="B11" s="5" t="s">
        <v>875</v>
      </c>
      <c r="C11" s="5" t="s">
        <v>876</v>
      </c>
    </row>
    <row r="12" customFormat="false" ht="15" hidden="false" customHeight="false" outlineLevel="0" collapsed="false">
      <c r="A12" s="21" t="s">
        <v>877</v>
      </c>
      <c r="B12" s="21" t="n">
        <f aca="false">COUNTIF(Scoring!$AN$6:$AN$105,$A12)</f>
        <v>0</v>
      </c>
      <c r="C12" s="21" t="n">
        <f aca="false">COUNTIF(Scoring_Reviews!$W$6:$W$55,$A12)</f>
        <v>0</v>
      </c>
    </row>
    <row r="13" customFormat="false" ht="15" hidden="false" customHeight="false" outlineLevel="0" collapsed="false">
      <c r="A13" s="21" t="s">
        <v>878</v>
      </c>
      <c r="B13" s="21" t="n">
        <f aca="false">COUNTIF(Scoring!$AN$6:$AN$105,$A13)</f>
        <v>0</v>
      </c>
      <c r="C13" s="21" t="n">
        <f aca="false">COUNTIF(Scoring_Reviews!$W$6:$W$55,$A13)</f>
        <v>0</v>
      </c>
    </row>
    <row r="14" customFormat="false" ht="15" hidden="false" customHeight="false" outlineLevel="0" collapsed="false">
      <c r="A14" s="21" t="s">
        <v>879</v>
      </c>
      <c r="B14" s="21" t="n">
        <f aca="false">COUNTIF(Scoring!$AN$6:$AN$105,$A14)</f>
        <v>0</v>
      </c>
      <c r="C14" s="21" t="n">
        <f aca="false">COUNTIF(Scoring_Reviews!$W$6:$W$55,$A14)</f>
        <v>0</v>
      </c>
    </row>
    <row r="15" customFormat="false" ht="15" hidden="false" customHeight="false" outlineLevel="0" collapsed="false">
      <c r="A15" s="21" t="s">
        <v>880</v>
      </c>
      <c r="B15" s="21" t="n">
        <f aca="false">COUNTIF(Scoring!$AN$6:$AN$105,$A15)</f>
        <v>0</v>
      </c>
      <c r="C15" s="21" t="n">
        <f aca="false">COUNTIF(Scoring_Reviews!$W$6:$W$55,$A15)</f>
        <v>0</v>
      </c>
    </row>
    <row r="16" customFormat="false" ht="15" hidden="false" customHeight="false" outlineLevel="0" collapsed="false">
      <c r="A16" s="21" t="s">
        <v>881</v>
      </c>
      <c r="B16" s="21" t="n">
        <f aca="false">COUNTIF(Scoring!$AN$6:$AN$105,$A16)</f>
        <v>0</v>
      </c>
      <c r="C16" s="21" t="n">
        <f aca="false">COUNTIF(Scoring_Reviews!$W$6:$W$55,$A16)</f>
        <v>0</v>
      </c>
    </row>
    <row r="19" customFormat="false" ht="15" hidden="false" customHeight="false" outlineLevel="0" collapsed="false">
      <c r="A19" s="4" t="s">
        <v>882</v>
      </c>
    </row>
    <row r="20" customFormat="false" ht="30" hidden="false" customHeight="true" outlineLevel="0" collapsed="false">
      <c r="A20" s="5" t="s">
        <v>874</v>
      </c>
      <c r="B20" s="5" t="s">
        <v>883</v>
      </c>
      <c r="C20" s="5" t="s">
        <v>759</v>
      </c>
      <c r="D20" s="5" t="s">
        <v>767</v>
      </c>
      <c r="E20" s="5" t="s">
        <v>775</v>
      </c>
      <c r="F20" s="5" t="s">
        <v>783</v>
      </c>
      <c r="G20" s="5" t="s">
        <v>791</v>
      </c>
      <c r="H20" s="5" t="s">
        <v>799</v>
      </c>
      <c r="I20" s="5" t="s">
        <v>806</v>
      </c>
      <c r="J20" s="5" t="s">
        <v>814</v>
      </c>
      <c r="K20" s="5" t="s">
        <v>822</v>
      </c>
    </row>
    <row r="21" customFormat="false" ht="15" hidden="false" customHeight="false" outlineLevel="0" collapsed="false">
      <c r="A21" s="21" t="s">
        <v>877</v>
      </c>
      <c r="B21" s="21" t="n">
        <f aca="false">COUNTIF(Scoring!$AN$6:$AN$105,$A21)</f>
        <v>0</v>
      </c>
      <c r="C21" s="22" t="str">
        <f aca="false">IFERROR(AVERAGEIFS(Scoring!$AB$6:$AB$105,Scoring!$AN$6:$AN$105,$A21),"")</f>
        <v/>
      </c>
      <c r="D21" s="22" t="str">
        <f aca="false">IFERROR(AVERAGEIFS(Scoring!$AC$6:$AC$105,Scoring!$AN$6:$AN$105,$A21),"")</f>
        <v/>
      </c>
      <c r="E21" s="22" t="str">
        <f aca="false">IFERROR(AVERAGEIFS(Scoring!$AD$6:$AD$105,Scoring!$AN$6:$AN$105,$A21),"")</f>
        <v/>
      </c>
      <c r="F21" s="22" t="str">
        <f aca="false">IFERROR(AVERAGEIFS(Scoring!$AE$6:$AE$105,Scoring!$AN$6:$AN$105,$A21),"")</f>
        <v/>
      </c>
      <c r="G21" s="22" t="str">
        <f aca="false">IFERROR(AVERAGEIFS(Scoring!$AF$6:$AF$105,Scoring!$AN$6:$AN$105,$A21),"")</f>
        <v/>
      </c>
      <c r="H21" s="22" t="str">
        <f aca="false">IFERROR(AVERAGEIFS(Scoring!$AG$6:$AG$105,Scoring!$AN$6:$AN$105,$A21),"")</f>
        <v/>
      </c>
      <c r="I21" s="22" t="str">
        <f aca="false">IFERROR(AVERAGEIFS(Scoring!$AH$6:$AH$105,Scoring!$AN$6:$AN$105,$A21),"")</f>
        <v/>
      </c>
      <c r="J21" s="22" t="str">
        <f aca="false">IFERROR(AVERAGEIFS(Scoring!$AI$6:$AI$105,Scoring!$AN$6:$AN$105,$A21),"")</f>
        <v/>
      </c>
      <c r="K21" s="22" t="str">
        <f aca="false">IFERROR(AVERAGEIFS(Scoring!$AJ$6:$AJ$105,Scoring!$AN$6:$AN$105,$A21),"")</f>
        <v/>
      </c>
    </row>
    <row r="22" customFormat="false" ht="15" hidden="false" customHeight="false" outlineLevel="0" collapsed="false">
      <c r="A22" s="21" t="s">
        <v>878</v>
      </c>
      <c r="B22" s="21" t="n">
        <f aca="false">COUNTIF(Scoring!$AN$6:$AN$105,$A22)</f>
        <v>0</v>
      </c>
      <c r="C22" s="22" t="str">
        <f aca="false">IFERROR(AVERAGEIFS(Scoring!$AB$6:$AB$105,Scoring!$AN$6:$AN$105,$A22),"")</f>
        <v/>
      </c>
      <c r="D22" s="22" t="str">
        <f aca="false">IFERROR(AVERAGEIFS(Scoring!$AC$6:$AC$105,Scoring!$AN$6:$AN$105,$A22),"")</f>
        <v/>
      </c>
      <c r="E22" s="22" t="str">
        <f aca="false">IFERROR(AVERAGEIFS(Scoring!$AD$6:$AD$105,Scoring!$AN$6:$AN$105,$A22),"")</f>
        <v/>
      </c>
      <c r="F22" s="22" t="str">
        <f aca="false">IFERROR(AVERAGEIFS(Scoring!$AE$6:$AE$105,Scoring!$AN$6:$AN$105,$A22),"")</f>
        <v/>
      </c>
      <c r="G22" s="22" t="str">
        <f aca="false">IFERROR(AVERAGEIFS(Scoring!$AF$6:$AF$105,Scoring!$AN$6:$AN$105,$A22),"")</f>
        <v/>
      </c>
      <c r="H22" s="22" t="str">
        <f aca="false">IFERROR(AVERAGEIFS(Scoring!$AG$6:$AG$105,Scoring!$AN$6:$AN$105,$A22),"")</f>
        <v/>
      </c>
      <c r="I22" s="22" t="str">
        <f aca="false">IFERROR(AVERAGEIFS(Scoring!$AH$6:$AH$105,Scoring!$AN$6:$AN$105,$A22),"")</f>
        <v/>
      </c>
      <c r="J22" s="22" t="str">
        <f aca="false">IFERROR(AVERAGEIFS(Scoring!$AI$6:$AI$105,Scoring!$AN$6:$AN$105,$A22),"")</f>
        <v/>
      </c>
      <c r="K22" s="22" t="str">
        <f aca="false">IFERROR(AVERAGEIFS(Scoring!$AJ$6:$AJ$105,Scoring!$AN$6:$AN$105,$A22),"")</f>
        <v/>
      </c>
    </row>
    <row r="23" customFormat="false" ht="15" hidden="false" customHeight="false" outlineLevel="0" collapsed="false">
      <c r="A23" s="21" t="s">
        <v>879</v>
      </c>
      <c r="B23" s="21" t="n">
        <f aca="false">COUNTIF(Scoring!$AN$6:$AN$105,$A23)</f>
        <v>0</v>
      </c>
      <c r="C23" s="22" t="str">
        <f aca="false">IFERROR(AVERAGEIFS(Scoring!$AB$6:$AB$105,Scoring!$AN$6:$AN$105,$A23),"")</f>
        <v/>
      </c>
      <c r="D23" s="22" t="str">
        <f aca="false">IFERROR(AVERAGEIFS(Scoring!$AC$6:$AC$105,Scoring!$AN$6:$AN$105,$A23),"")</f>
        <v/>
      </c>
      <c r="E23" s="22" t="str">
        <f aca="false">IFERROR(AVERAGEIFS(Scoring!$AD$6:$AD$105,Scoring!$AN$6:$AN$105,$A23),"")</f>
        <v/>
      </c>
      <c r="F23" s="22" t="str">
        <f aca="false">IFERROR(AVERAGEIFS(Scoring!$AE$6:$AE$105,Scoring!$AN$6:$AN$105,$A23),"")</f>
        <v/>
      </c>
      <c r="G23" s="22" t="str">
        <f aca="false">IFERROR(AVERAGEIFS(Scoring!$AF$6:$AF$105,Scoring!$AN$6:$AN$105,$A23),"")</f>
        <v/>
      </c>
      <c r="H23" s="22" t="str">
        <f aca="false">IFERROR(AVERAGEIFS(Scoring!$AG$6:$AG$105,Scoring!$AN$6:$AN$105,$A23),"")</f>
        <v/>
      </c>
      <c r="I23" s="22" t="str">
        <f aca="false">IFERROR(AVERAGEIFS(Scoring!$AH$6:$AH$105,Scoring!$AN$6:$AN$105,$A23),"")</f>
        <v/>
      </c>
      <c r="J23" s="22" t="str">
        <f aca="false">IFERROR(AVERAGEIFS(Scoring!$AI$6:$AI$105,Scoring!$AN$6:$AN$105,$A23),"")</f>
        <v/>
      </c>
      <c r="K23" s="22" t="str">
        <f aca="false">IFERROR(AVERAGEIFS(Scoring!$AJ$6:$AJ$105,Scoring!$AN$6:$AN$105,$A23),"")</f>
        <v/>
      </c>
    </row>
    <row r="24" customFormat="false" ht="15" hidden="false" customHeight="false" outlineLevel="0" collapsed="false">
      <c r="A24" s="23" t="s">
        <v>884</v>
      </c>
      <c r="B24" s="23"/>
      <c r="C24" s="24" t="str">
        <f aca="false">IFERROR(C21-C23,"")</f>
        <v/>
      </c>
      <c r="D24" s="24" t="str">
        <f aca="false">IFERROR(D21-D23,"")</f>
        <v/>
      </c>
      <c r="E24" s="24" t="str">
        <f aca="false">IFERROR(E21-E23,"")</f>
        <v/>
      </c>
      <c r="F24" s="24" t="str">
        <f aca="false">IFERROR(F21-F23,"")</f>
        <v/>
      </c>
      <c r="G24" s="24" t="str">
        <f aca="false">IFERROR(G21-G23,"")</f>
        <v/>
      </c>
      <c r="H24" s="24" t="str">
        <f aca="false">IFERROR(H21-H23,"")</f>
        <v/>
      </c>
      <c r="I24" s="24" t="str">
        <f aca="false">IFERROR(I21-I23,"")</f>
        <v/>
      </c>
      <c r="J24" s="24" t="str">
        <f aca="false">IFERROR(J21-J23,"")</f>
        <v/>
      </c>
      <c r="K24" s="24" t="str">
        <f aca="false">IFERROR(K21-K23,"")</f>
        <v/>
      </c>
    </row>
    <row r="25" customFormat="false" ht="15" hidden="false" customHeight="false" outlineLevel="0" collapsed="false">
      <c r="A25" s="23" t="s">
        <v>885</v>
      </c>
      <c r="B25" s="23"/>
      <c r="C25" s="23" t="str">
        <f aca="false">IF(C24="","",RANK(C24,$C$24:$K$24))</f>
        <v/>
      </c>
      <c r="D25" s="23" t="str">
        <f aca="false">IF(D24="","",RANK(D24,$C$24:$K$24))</f>
        <v/>
      </c>
      <c r="E25" s="23" t="str">
        <f aca="false">IF(E24="","",RANK(E24,$C$24:$K$24))</f>
        <v/>
      </c>
      <c r="F25" s="23" t="str">
        <f aca="false">IF(F24="","",RANK(F24,$C$24:$K$24))</f>
        <v/>
      </c>
      <c r="G25" s="23" t="str">
        <f aca="false">IF(G24="","",RANK(G24,$C$24:$K$24))</f>
        <v/>
      </c>
      <c r="H25" s="23" t="str">
        <f aca="false">IF(H24="","",RANK(H24,$C$24:$K$24))</f>
        <v/>
      </c>
      <c r="I25" s="23" t="str">
        <f aca="false">IF(I24="","",RANK(I24,$C$24:$K$24))</f>
        <v/>
      </c>
      <c r="J25" s="23" t="str">
        <f aca="false">IF(J24="","",RANK(J24,$C$24:$K$24))</f>
        <v/>
      </c>
      <c r="K25" s="23" t="str">
        <f aca="false">IF(K24="","",RANK(K24,$C$24:$K$24))</f>
        <v/>
      </c>
    </row>
    <row r="26" customFormat="false" ht="15" hidden="false" customHeight="false" outlineLevel="0" collapsed="false">
      <c r="A26" s="4" t="s">
        <v>886</v>
      </c>
      <c r="F26" s="4" t="str">
        <f aca="false">IFERROR(INDEX($C$20:$K$20,MATCH(MAX($C$24:$K$24),$C$24:$K$24,0)),"")</f>
        <v/>
      </c>
    </row>
    <row r="27" customFormat="false" ht="57.75" hidden="false" customHeight="true" outlineLevel="0" collapsed="false">
      <c r="A27" s="11" t="s">
        <v>887</v>
      </c>
      <c r="B27" s="11"/>
      <c r="C27" s="11"/>
      <c r="D27" s="11"/>
      <c r="E27" s="11"/>
      <c r="F27" s="11"/>
      <c r="G27" s="11"/>
      <c r="H27" s="11"/>
      <c r="I27" s="11"/>
      <c r="J27" s="11"/>
      <c r="K27" s="11"/>
      <c r="L27" s="11"/>
    </row>
    <row r="29" customFormat="false" ht="15" hidden="false" customHeight="false" outlineLevel="0" collapsed="false">
      <c r="A29" s="4" t="s">
        <v>888</v>
      </c>
    </row>
    <row r="30" customFormat="false" ht="31.5" hidden="false" customHeight="true" outlineLevel="0" collapsed="false">
      <c r="A30" s="5" t="s">
        <v>889</v>
      </c>
      <c r="B30" s="5" t="s">
        <v>877</v>
      </c>
      <c r="C30" s="5" t="s">
        <v>878</v>
      </c>
      <c r="D30" s="5" t="s">
        <v>879</v>
      </c>
    </row>
    <row r="31" customFormat="false" ht="15" hidden="false" customHeight="false" outlineLevel="0" collapsed="false">
      <c r="A31" s="21" t="s">
        <v>890</v>
      </c>
      <c r="B31" s="21" t="n">
        <f aca="false">COUNTIFS(Scoring!$AN$6:$AN$105,"High",Scoring!$G$6:$G$105,"Company / industry source")</f>
        <v>0</v>
      </c>
      <c r="C31" s="21" t="n">
        <f aca="false">COUNTIFS(Scoring!$AN$6:$AN$105,"Medium",Scoring!$G$6:$G$105,"Company / industry source")</f>
        <v>0</v>
      </c>
      <c r="D31" s="21" t="n">
        <f aca="false">COUNTIFS(Scoring!$AN$6:$AN$105,"Low",Scoring!$G$6:$G$105,"Company / industry source")</f>
        <v>0</v>
      </c>
    </row>
    <row r="32" customFormat="false" ht="15" hidden="false" customHeight="false" outlineLevel="0" collapsed="false">
      <c r="A32" s="21" t="s">
        <v>891</v>
      </c>
      <c r="B32" s="21" t="n">
        <f aca="false">COUNTIFS(Scoring!$AN$6:$AN$105,"High",Scoring!$G$6:$G$105,"Mixed academic-industry authors")</f>
        <v>0</v>
      </c>
      <c r="C32" s="21" t="n">
        <f aca="false">COUNTIFS(Scoring!$AN$6:$AN$105,"Medium",Scoring!$G$6:$G$105,"Mixed academic-industry authors")</f>
        <v>0</v>
      </c>
      <c r="D32" s="21" t="n">
        <f aca="false">COUNTIFS(Scoring!$AN$6:$AN$105,"Low",Scoring!$G$6:$G$105,"Mixed academic-industry authors")</f>
        <v>0</v>
      </c>
    </row>
    <row r="33" customFormat="false" ht="15" hidden="false" customHeight="false" outlineLevel="0" collapsed="false">
      <c r="A33" s="21" t="s">
        <v>892</v>
      </c>
      <c r="B33" s="21" t="n">
        <f aca="false">COUNTIFS(Scoring!$AN$6:$AN$105,"High",Scoring!$G$6:$G$105,"Academic, declared industry COI")</f>
        <v>0</v>
      </c>
      <c r="C33" s="21" t="n">
        <f aca="false">COUNTIFS(Scoring!$AN$6:$AN$105,"Medium",Scoring!$G$6:$G$105,"Academic, declared industry COI")</f>
        <v>0</v>
      </c>
      <c r="D33" s="21" t="n">
        <f aca="false">COUNTIFS(Scoring!$AN$6:$AN$105,"Low",Scoring!$G$6:$G$105,"Academic, declared industry COI")</f>
        <v>0</v>
      </c>
    </row>
    <row r="34" customFormat="false" ht="15" hidden="false" customHeight="false" outlineLevel="0" collapsed="false">
      <c r="A34" s="21" t="s">
        <v>893</v>
      </c>
      <c r="B34" s="21" t="n">
        <f aca="false">COUNTIFS(Scoring!$AN$6:$AN$105,"High",Scoring!$G$6:$G$105,"Academic, none declared")</f>
        <v>0</v>
      </c>
      <c r="C34" s="21" t="n">
        <f aca="false">COUNTIFS(Scoring!$AN$6:$AN$105,"Medium",Scoring!$G$6:$G$105,"Academic, none declared")</f>
        <v>0</v>
      </c>
      <c r="D34" s="21" t="n">
        <f aca="false">COUNTIFS(Scoring!$AN$6:$AN$105,"Low",Scoring!$G$6:$G$105,"Academic, none declared")</f>
        <v>0</v>
      </c>
    </row>
    <row r="35" customFormat="false" ht="15" hidden="false" customHeight="false" outlineLevel="0" collapsed="false">
      <c r="A35" s="21" t="s">
        <v>724</v>
      </c>
      <c r="B35" s="21" t="n">
        <f aca="false">COUNTIFS(Scoring!$AN$6:$AN$105,"High",Scoring!$F$6:$F$105,"Peer-reviewed")</f>
        <v>0</v>
      </c>
      <c r="C35" s="21" t="n">
        <f aca="false">COUNTIFS(Scoring!$AN$6:$AN$105,"Medium",Scoring!$F$6:$F$105,"Peer-reviewed")</f>
        <v>0</v>
      </c>
      <c r="D35" s="21" t="n">
        <f aca="false">COUNTIFS(Scoring!$AN$6:$AN$105,"Low",Scoring!$F$6:$F$105,"Peer-reviewed")</f>
        <v>0</v>
      </c>
    </row>
    <row r="36" customFormat="false" ht="15" hidden="false" customHeight="false" outlineLevel="0" collapsed="false">
      <c r="A36" s="21" t="s">
        <v>118</v>
      </c>
      <c r="B36" s="21" t="n">
        <f aca="false">COUNTIFS(Scoring!$AN$6:$AN$105,"High",Scoring!$F$6:$F$105,"Preprint")</f>
        <v>0</v>
      </c>
      <c r="C36" s="21" t="n">
        <f aca="false">COUNTIFS(Scoring!$AN$6:$AN$105,"Medium",Scoring!$F$6:$F$105,"Preprint")</f>
        <v>0</v>
      </c>
      <c r="D36" s="21" t="n">
        <f aca="false">COUNTIFS(Scoring!$AN$6:$AN$105,"Low",Scoring!$F$6:$F$105,"Preprint")</f>
        <v>0</v>
      </c>
    </row>
    <row r="37" customFormat="false" ht="15" hidden="false" customHeight="false" outlineLevel="0" collapsed="false">
      <c r="A37" s="21" t="s">
        <v>894</v>
      </c>
      <c r="B37" s="21" t="n">
        <f aca="false">COUNTIFS(Scoring!$AN$6:$AN$105,"High",Scoring!$E$6:$E$105,"*C*")</f>
        <v>0</v>
      </c>
      <c r="C37" s="21" t="n">
        <f aca="false">COUNTIFS(Scoring!$AN$6:$AN$105,"Medium",Scoring!$E$6:$E$105,"*C*")</f>
        <v>0</v>
      </c>
      <c r="D37" s="21" t="n">
        <f aca="false">COUNTIFS(Scoring!$AN$6:$AN$105,"Low",Scoring!$E$6:$E$105,"*C*")</f>
        <v>0</v>
      </c>
    </row>
    <row r="38" customFormat="false" ht="15" hidden="false" customHeight="false" outlineLevel="0" collapsed="false">
      <c r="A38" s="21" t="s">
        <v>895</v>
      </c>
      <c r="B38" s="21" t="n">
        <f aca="false">COUNTIFS(Scoring!$AN$6:$AN$105,"High",Scoring!$E$6:$E$105,"*L*")</f>
        <v>0</v>
      </c>
      <c r="C38" s="21" t="n">
        <f aca="false">COUNTIFS(Scoring!$AN$6:$AN$105,"Medium",Scoring!$E$6:$E$105,"*L*")</f>
        <v>0</v>
      </c>
      <c r="D38" s="21" t="n">
        <f aca="false">COUNTIFS(Scoring!$AN$6:$AN$105,"Low",Scoring!$E$6:$E$105,"*L*")</f>
        <v>0</v>
      </c>
    </row>
    <row r="39" customFormat="false" ht="15" hidden="false" customHeight="false" outlineLevel="0" collapsed="false">
      <c r="A39" s="21" t="s">
        <v>896</v>
      </c>
      <c r="B39" s="21" t="n">
        <f aca="false">COUNTIFS(Scoring!$AN$6:$AN$105,"High",Scoring!$E$6:$E$105,"*E*")</f>
        <v>0</v>
      </c>
      <c r="C39" s="21" t="n">
        <f aca="false">COUNTIFS(Scoring!$AN$6:$AN$105,"Medium",Scoring!$E$6:$E$105,"*E*")</f>
        <v>0</v>
      </c>
      <c r="D39" s="21" t="n">
        <f aca="false">COUNTIFS(Scoring!$AN$6:$AN$105,"Low",Scoring!$E$6:$E$105,"*E*")</f>
        <v>0</v>
      </c>
    </row>
    <row r="41" customFormat="false" ht="15" hidden="false" customHeight="false" outlineLevel="0" collapsed="false">
      <c r="A41" s="4" t="s">
        <v>897</v>
      </c>
    </row>
    <row r="42" customFormat="false" ht="43.5" hidden="false" customHeight="true" outlineLevel="0" collapsed="false">
      <c r="A42" s="5" t="s">
        <v>874</v>
      </c>
      <c r="B42" s="5" t="s">
        <v>898</v>
      </c>
      <c r="C42" s="5" t="s">
        <v>899</v>
      </c>
      <c r="D42" s="5" t="s">
        <v>900</v>
      </c>
      <c r="E42" s="5" t="s">
        <v>901</v>
      </c>
      <c r="F42" s="5" t="s">
        <v>902</v>
      </c>
      <c r="G42" s="5" t="s">
        <v>903</v>
      </c>
    </row>
    <row r="43" customFormat="false" ht="90" hidden="false" customHeight="true" outlineLevel="0" collapsed="false">
      <c r="A43" s="2" t="s">
        <v>877</v>
      </c>
      <c r="B43" s="12"/>
      <c r="C43" s="12"/>
      <c r="D43" s="12"/>
      <c r="E43" s="12"/>
      <c r="F43" s="12"/>
      <c r="G43" s="12"/>
    </row>
    <row r="44" customFormat="false" ht="90" hidden="false" customHeight="true" outlineLevel="0" collapsed="false">
      <c r="A44" s="2" t="s">
        <v>878</v>
      </c>
      <c r="B44" s="12"/>
      <c r="C44" s="12"/>
      <c r="D44" s="12"/>
      <c r="E44" s="12"/>
      <c r="F44" s="12"/>
      <c r="G44" s="12"/>
    </row>
    <row r="45" customFormat="false" ht="90" hidden="false" customHeight="true" outlineLevel="0" collapsed="false">
      <c r="A45" s="2" t="s">
        <v>879</v>
      </c>
      <c r="B45" s="12"/>
      <c r="C45" s="12"/>
      <c r="D45" s="12"/>
      <c r="E45" s="12"/>
      <c r="F45" s="12"/>
      <c r="G45" s="12"/>
    </row>
    <row r="47" customFormat="false" ht="15" hidden="false" customHeight="false" outlineLevel="0" collapsed="false">
      <c r="A47" s="4" t="s">
        <v>904</v>
      </c>
    </row>
    <row r="48" customFormat="false" ht="45" hidden="false" customHeight="true" outlineLevel="0" collapsed="false">
      <c r="A48" s="21" t="s">
        <v>905</v>
      </c>
      <c r="B48" s="12"/>
      <c r="C48" s="12"/>
      <c r="D48" s="12"/>
      <c r="E48" s="12"/>
      <c r="F48" s="12"/>
      <c r="G48" s="12"/>
    </row>
    <row r="49" customFormat="false" ht="45" hidden="false" customHeight="true" outlineLevel="0" collapsed="false">
      <c r="A49" s="21" t="s">
        <v>906</v>
      </c>
      <c r="B49" s="12"/>
      <c r="C49" s="12"/>
      <c r="D49" s="12"/>
      <c r="E49" s="12"/>
      <c r="F49" s="12"/>
      <c r="G49" s="12"/>
    </row>
    <row r="50" customFormat="false" ht="45" hidden="false" customHeight="true" outlineLevel="0" collapsed="false">
      <c r="A50" s="21" t="s">
        <v>907</v>
      </c>
      <c r="B50" s="12"/>
      <c r="C50" s="12"/>
      <c r="D50" s="12"/>
      <c r="E50" s="12"/>
      <c r="F50" s="12"/>
      <c r="G50" s="12"/>
    </row>
  </sheetData>
  <mergeCells count="5">
    <mergeCell ref="A2:L2"/>
    <mergeCell ref="A27:L27"/>
    <mergeCell ref="B48:G48"/>
    <mergeCell ref="B49:G49"/>
    <mergeCell ref="B50:G5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26"/>
    <col collapsed="false" customWidth="true" hidden="false" outlineLevel="0" max="9" min="3" style="0" width="14"/>
    <col collapsed="false" customWidth="true" hidden="false" outlineLevel="0" max="12" min="10" style="0" width="10"/>
    <col collapsed="false" customWidth="true" hidden="false" outlineLevel="0" max="13" min="13" style="0" width="16"/>
    <col collapsed="false" customWidth="true" hidden="false" outlineLevel="0" max="14" min="14" style="0" width="14"/>
  </cols>
  <sheetData>
    <row r="1" customFormat="false" ht="17.35" hidden="false" customHeight="false" outlineLevel="0" collapsed="false">
      <c r="A1" s="1" t="s">
        <v>908</v>
      </c>
    </row>
    <row r="3" customFormat="false" ht="15" hidden="false" customHeight="false" outlineLevel="0" collapsed="false">
      <c r="A3" s="4" t="s">
        <v>909</v>
      </c>
    </row>
    <row r="4" customFormat="false" ht="31.5" hidden="false" customHeight="true" outlineLevel="0" collapsed="false">
      <c r="A4" s="5" t="s">
        <v>63</v>
      </c>
      <c r="B4" s="5" t="s">
        <v>752</v>
      </c>
      <c r="C4" s="5" t="s">
        <v>910</v>
      </c>
      <c r="D4" s="5" t="s">
        <v>911</v>
      </c>
      <c r="E4" s="5" t="s">
        <v>912</v>
      </c>
      <c r="F4" s="5" t="s">
        <v>913</v>
      </c>
      <c r="G4" s="5" t="s">
        <v>914</v>
      </c>
    </row>
    <row r="5" customFormat="false" ht="15" hidden="false" customHeight="false" outlineLevel="0" collapsed="false">
      <c r="A5" s="21" t="s">
        <v>759</v>
      </c>
      <c r="B5" s="21" t="s">
        <v>760</v>
      </c>
      <c r="C5" s="21" t="n">
        <f aca="false">COUNT(Scoring!AB$6:AB$105)</f>
        <v>0</v>
      </c>
      <c r="D5" s="21" t="n">
        <f aca="false">COUNTIF(Scoring!AB$6:AB$105,"NA")</f>
        <v>0</v>
      </c>
      <c r="E5" s="22" t="str">
        <f aca="false">IFERROR(AVERAGE(Scoring!AB$6:AB$105),"")</f>
        <v/>
      </c>
      <c r="F5" s="25" t="str">
        <f aca="false">IF(C5=0,"",COUNTIF(Scoring!AB$6:AB$105,2)/C5)</f>
        <v/>
      </c>
      <c r="G5" s="25" t="str">
        <f aca="false">IF(C5=0,"",COUNTIF(Scoring!AB$6:AB$105,0)/C5)</f>
        <v/>
      </c>
    </row>
    <row r="6" customFormat="false" ht="15" hidden="false" customHeight="false" outlineLevel="0" collapsed="false">
      <c r="A6" s="21" t="s">
        <v>767</v>
      </c>
      <c r="B6" s="21" t="s">
        <v>768</v>
      </c>
      <c r="C6" s="21" t="n">
        <f aca="false">COUNT(Scoring!AC$6:AC$105)</f>
        <v>0</v>
      </c>
      <c r="D6" s="21" t="n">
        <f aca="false">COUNTIF(Scoring!AC$6:AC$105,"NA")</f>
        <v>0</v>
      </c>
      <c r="E6" s="22" t="str">
        <f aca="false">IFERROR(AVERAGE(Scoring!AC$6:AC$105),"")</f>
        <v/>
      </c>
      <c r="F6" s="25" t="str">
        <f aca="false">IF(C6=0,"",COUNTIF(Scoring!AC$6:AC$105,2)/C6)</f>
        <v/>
      </c>
      <c r="G6" s="25" t="str">
        <f aca="false">IF(C6=0,"",COUNTIF(Scoring!AC$6:AC$105,0)/C6)</f>
        <v/>
      </c>
    </row>
    <row r="7" customFormat="false" ht="15" hidden="false" customHeight="false" outlineLevel="0" collapsed="false">
      <c r="A7" s="21" t="s">
        <v>775</v>
      </c>
      <c r="B7" s="21" t="s">
        <v>776</v>
      </c>
      <c r="C7" s="21" t="n">
        <f aca="false">COUNT(Scoring!AD$6:AD$105)</f>
        <v>0</v>
      </c>
      <c r="D7" s="21" t="n">
        <f aca="false">COUNTIF(Scoring!AD$6:AD$105,"NA")</f>
        <v>0</v>
      </c>
      <c r="E7" s="22" t="str">
        <f aca="false">IFERROR(AVERAGE(Scoring!AD$6:AD$105),"")</f>
        <v/>
      </c>
      <c r="F7" s="25" t="str">
        <f aca="false">IF(C7=0,"",COUNTIF(Scoring!AD$6:AD$105,2)/C7)</f>
        <v/>
      </c>
      <c r="G7" s="25" t="str">
        <f aca="false">IF(C7=0,"",COUNTIF(Scoring!AD$6:AD$105,0)/C7)</f>
        <v/>
      </c>
    </row>
    <row r="8" customFormat="false" ht="15" hidden="false" customHeight="false" outlineLevel="0" collapsed="false">
      <c r="A8" s="21" t="s">
        <v>783</v>
      </c>
      <c r="B8" s="21" t="s">
        <v>784</v>
      </c>
      <c r="C8" s="21" t="n">
        <f aca="false">COUNT(Scoring!AE$6:AE$105)</f>
        <v>0</v>
      </c>
      <c r="D8" s="21" t="n">
        <f aca="false">COUNTIF(Scoring!AE$6:AE$105,"NA")</f>
        <v>0</v>
      </c>
      <c r="E8" s="22" t="str">
        <f aca="false">IFERROR(AVERAGE(Scoring!AE$6:AE$105),"")</f>
        <v/>
      </c>
      <c r="F8" s="25" t="str">
        <f aca="false">IF(C8=0,"",COUNTIF(Scoring!AE$6:AE$105,2)/C8)</f>
        <v/>
      </c>
      <c r="G8" s="25" t="str">
        <f aca="false">IF(C8=0,"",COUNTIF(Scoring!AE$6:AE$105,0)/C8)</f>
        <v/>
      </c>
    </row>
    <row r="9" customFormat="false" ht="15" hidden="false" customHeight="false" outlineLevel="0" collapsed="false">
      <c r="A9" s="21" t="s">
        <v>791</v>
      </c>
      <c r="B9" s="21" t="s">
        <v>792</v>
      </c>
      <c r="C9" s="21" t="n">
        <f aca="false">COUNT(Scoring!AF$6:AF$105)</f>
        <v>0</v>
      </c>
      <c r="D9" s="21" t="n">
        <f aca="false">COUNTIF(Scoring!AF$6:AF$105,"NA")</f>
        <v>0</v>
      </c>
      <c r="E9" s="22" t="str">
        <f aca="false">IFERROR(AVERAGE(Scoring!AF$6:AF$105),"")</f>
        <v/>
      </c>
      <c r="F9" s="25" t="str">
        <f aca="false">IF(C9=0,"",COUNTIF(Scoring!AF$6:AF$105,2)/C9)</f>
        <v/>
      </c>
      <c r="G9" s="25" t="str">
        <f aca="false">IF(C9=0,"",COUNTIF(Scoring!AF$6:AF$105,0)/C9)</f>
        <v/>
      </c>
    </row>
    <row r="10" customFormat="false" ht="15" hidden="false" customHeight="false" outlineLevel="0" collapsed="false">
      <c r="A10" s="21" t="s">
        <v>799</v>
      </c>
      <c r="B10" s="21" t="s">
        <v>800</v>
      </c>
      <c r="C10" s="21" t="n">
        <f aca="false">COUNT(Scoring!AG$6:AG$105)</f>
        <v>0</v>
      </c>
      <c r="D10" s="21" t="n">
        <f aca="false">COUNTIF(Scoring!AG$6:AG$105,"NA")</f>
        <v>0</v>
      </c>
      <c r="E10" s="22" t="str">
        <f aca="false">IFERROR(AVERAGE(Scoring!AG$6:AG$105),"")</f>
        <v/>
      </c>
      <c r="F10" s="25" t="str">
        <f aca="false">IF(C10=0,"",COUNTIF(Scoring!AG$6:AG$105,2)/C10)</f>
        <v/>
      </c>
      <c r="G10" s="25" t="str">
        <f aca="false">IF(C10=0,"",COUNTIF(Scoring!AG$6:AG$105,0)/C10)</f>
        <v/>
      </c>
    </row>
    <row r="11" customFormat="false" ht="15" hidden="false" customHeight="false" outlineLevel="0" collapsed="false">
      <c r="A11" s="21" t="s">
        <v>806</v>
      </c>
      <c r="B11" s="21" t="s">
        <v>807</v>
      </c>
      <c r="C11" s="21" t="n">
        <f aca="false">COUNT(Scoring!AH$6:AH$105)</f>
        <v>0</v>
      </c>
      <c r="D11" s="21" t="n">
        <f aca="false">COUNTIF(Scoring!AH$6:AH$105,"NA")</f>
        <v>0</v>
      </c>
      <c r="E11" s="22" t="str">
        <f aca="false">IFERROR(AVERAGE(Scoring!AH$6:AH$105),"")</f>
        <v/>
      </c>
      <c r="F11" s="25" t="str">
        <f aca="false">IF(C11=0,"",COUNTIF(Scoring!AH$6:AH$105,2)/C11)</f>
        <v/>
      </c>
      <c r="G11" s="25" t="str">
        <f aca="false">IF(C11=0,"",COUNTIF(Scoring!AH$6:AH$105,0)/C11)</f>
        <v/>
      </c>
    </row>
    <row r="12" customFormat="false" ht="15" hidden="false" customHeight="false" outlineLevel="0" collapsed="false">
      <c r="A12" s="21" t="s">
        <v>814</v>
      </c>
      <c r="B12" s="21" t="s">
        <v>815</v>
      </c>
      <c r="C12" s="21" t="n">
        <f aca="false">COUNT(Scoring!AI$6:AI$105)</f>
        <v>0</v>
      </c>
      <c r="D12" s="21" t="n">
        <f aca="false">COUNTIF(Scoring!AI$6:AI$105,"NA")</f>
        <v>0</v>
      </c>
      <c r="E12" s="22" t="str">
        <f aca="false">IFERROR(AVERAGE(Scoring!AI$6:AI$105),"")</f>
        <v/>
      </c>
      <c r="F12" s="25" t="str">
        <f aca="false">IF(C12=0,"",COUNTIF(Scoring!AI$6:AI$105,2)/C12)</f>
        <v/>
      </c>
      <c r="G12" s="25" t="str">
        <f aca="false">IF(C12=0,"",COUNTIF(Scoring!AI$6:AI$105,0)/C12)</f>
        <v/>
      </c>
    </row>
    <row r="13" customFormat="false" ht="15" hidden="false" customHeight="false" outlineLevel="0" collapsed="false">
      <c r="A13" s="21" t="s">
        <v>822</v>
      </c>
      <c r="B13" s="21" t="s">
        <v>823</v>
      </c>
      <c r="C13" s="21" t="n">
        <f aca="false">COUNT(Scoring!AJ$6:AJ$105)</f>
        <v>0</v>
      </c>
      <c r="D13" s="21" t="n">
        <f aca="false">COUNTIF(Scoring!AJ$6:AJ$105,"NA")</f>
        <v>0</v>
      </c>
      <c r="E13" s="22" t="str">
        <f aca="false">IFERROR(AVERAGE(Scoring!AJ$6:AJ$105),"")</f>
        <v/>
      </c>
      <c r="F13" s="25" t="str">
        <f aca="false">IF(C13=0,"",COUNTIF(Scoring!AJ$6:AJ$105,2)/C13)</f>
        <v/>
      </c>
      <c r="G13" s="25" t="str">
        <f aca="false">IF(C13=0,"",COUNTIF(Scoring!AJ$6:AJ$105,0)/C13)</f>
        <v/>
      </c>
    </row>
    <row r="15" customFormat="false" ht="15" hidden="false" customHeight="false" outlineLevel="0" collapsed="false">
      <c r="A15" s="4" t="s">
        <v>915</v>
      </c>
    </row>
    <row r="16" customFormat="false" ht="33.75" hidden="false" customHeight="true" outlineLevel="0" collapsed="false">
      <c r="A16" s="5" t="s">
        <v>63</v>
      </c>
      <c r="B16" s="5" t="s">
        <v>752</v>
      </c>
      <c r="C16" s="5" t="s">
        <v>916</v>
      </c>
      <c r="D16" s="5" t="s">
        <v>917</v>
      </c>
      <c r="E16" s="5" t="s">
        <v>918</v>
      </c>
      <c r="F16" s="5" t="s">
        <v>919</v>
      </c>
      <c r="G16" s="5" t="s">
        <v>920</v>
      </c>
      <c r="H16" s="5" t="s">
        <v>921</v>
      </c>
      <c r="I16" s="5" t="s">
        <v>922</v>
      </c>
      <c r="J16" s="5" t="s">
        <v>923</v>
      </c>
      <c r="K16" s="5" t="s">
        <v>924</v>
      </c>
      <c r="L16" s="5" t="s">
        <v>925</v>
      </c>
      <c r="M16" s="5" t="s">
        <v>926</v>
      </c>
      <c r="N16" s="5" t="s">
        <v>927</v>
      </c>
    </row>
    <row r="17" customFormat="false" ht="15" hidden="false" customHeight="false" outlineLevel="0" collapsed="false">
      <c r="A17" s="21" t="s">
        <v>759</v>
      </c>
      <c r="B17" s="21" t="s">
        <v>760</v>
      </c>
      <c r="C17" s="21" t="n">
        <f aca="false">SUMPRODUCT(ISNUMBER(Scoring!$J$6:$J$105)*ISNUMBER(Scoring!$S$6:$S$105))</f>
        <v>0</v>
      </c>
      <c r="D17" s="21" t="n">
        <f aca="false">SUMPRODUCT(ISNUMBER(Scoring!$J$6:$J$105)*ISNUMBER(Scoring!$S$6:$S$105)*(Scoring!$J$6:$J$105=Scoring!$S$6:$S$105))</f>
        <v>0</v>
      </c>
      <c r="E17" s="25" t="str">
        <f aca="false">IF(C17=0,"",D17/C17)</f>
        <v/>
      </c>
      <c r="F17" s="21" t="n">
        <f aca="false">SUMPRODUCT(ISNUMBER(Scoring!$J$6:$J$105)*ISNUMBER(Scoring!$S$6:$S$105)*(Scoring!$J$6:$J$105=0)*(Scoring!$S$6:$S$105=2))+SUMPRODUCT(ISNUMBER(Scoring!$J$6:$J$105)*ISNUMBER(Scoring!$S$6:$S$105)*(Scoring!$J$6:$J$105=2)*(Scoring!$S$6:$S$105=0))</f>
        <v>0</v>
      </c>
      <c r="G17" s="21" t="n">
        <f aca="false">SUMPRODUCT(ISNUMBER(Scoring!$J$6:$J$105)*ISNUMBER(Scoring!$S$6:$S$105)*(Scoring!$J$6:$J$105=0))</f>
        <v>0</v>
      </c>
      <c r="H17" s="21" t="n">
        <f aca="false">SUMPRODUCT(ISNUMBER(Scoring!$J$6:$J$105)*ISNUMBER(Scoring!$S$6:$S$105)*(Scoring!$J$6:$J$105=1))</f>
        <v>0</v>
      </c>
      <c r="I17" s="21" t="n">
        <f aca="false">SUMPRODUCT(ISNUMBER(Scoring!$J$6:$J$105)*ISNUMBER(Scoring!$S$6:$S$105)*(Scoring!$J$6:$J$105=2))</f>
        <v>0</v>
      </c>
      <c r="J17" s="21" t="n">
        <f aca="false">SUMPRODUCT(ISNUMBER(Scoring!$J$6:$J$105)*ISNUMBER(Scoring!$S$6:$S$105)*(Scoring!$S$6:$S$105=0))</f>
        <v>0</v>
      </c>
      <c r="K17" s="21" t="n">
        <f aca="false">SUMPRODUCT(ISNUMBER(Scoring!$J$6:$J$105)*ISNUMBER(Scoring!$S$6:$S$105)*(Scoring!$S$6:$S$105=1))</f>
        <v>0</v>
      </c>
      <c r="L17" s="21" t="n">
        <f aca="false">SUMPRODUCT(ISNUMBER(Scoring!$J$6:$J$105)*ISNUMBER(Scoring!$S$6:$S$105)*(Scoring!$S$6:$S$105=2))</f>
        <v>0</v>
      </c>
      <c r="M17" s="22" t="str">
        <f aca="false">IF(C17=0,"",(G17*J17+H17*K17+I17*L17)/C17^2)</f>
        <v/>
      </c>
      <c r="N17" s="22" t="str">
        <f aca="false">IF(C17=0,"",IF(M17=1,"",(E17-M17)/(1-M17)))</f>
        <v/>
      </c>
    </row>
    <row r="18" customFormat="false" ht="15" hidden="false" customHeight="false" outlineLevel="0" collapsed="false">
      <c r="A18" s="21" t="s">
        <v>767</v>
      </c>
      <c r="B18" s="21" t="s">
        <v>768</v>
      </c>
      <c r="C18" s="21" t="n">
        <f aca="false">SUMPRODUCT(ISNUMBER(Scoring!$K$6:$K$105)*ISNUMBER(Scoring!$T$6:$T$105))</f>
        <v>0</v>
      </c>
      <c r="D18" s="21" t="n">
        <f aca="false">SUMPRODUCT(ISNUMBER(Scoring!$K$6:$K$105)*ISNUMBER(Scoring!$T$6:$T$105)*(Scoring!$K$6:$K$105=Scoring!$T$6:$T$105))</f>
        <v>0</v>
      </c>
      <c r="E18" s="25" t="str">
        <f aca="false">IF(C18=0,"",D18/C18)</f>
        <v/>
      </c>
      <c r="F18" s="21" t="n">
        <f aca="false">SUMPRODUCT(ISNUMBER(Scoring!$K$6:$K$105)*ISNUMBER(Scoring!$T$6:$T$105)*(Scoring!$K$6:$K$105=0)*(Scoring!$T$6:$T$105=2))+SUMPRODUCT(ISNUMBER(Scoring!$K$6:$K$105)*ISNUMBER(Scoring!$T$6:$T$105)*(Scoring!$K$6:$K$105=2)*(Scoring!$T$6:$T$105=0))</f>
        <v>0</v>
      </c>
      <c r="G18" s="21" t="n">
        <f aca="false">SUMPRODUCT(ISNUMBER(Scoring!$K$6:$K$105)*ISNUMBER(Scoring!$T$6:$T$105)*(Scoring!$K$6:$K$105=0))</f>
        <v>0</v>
      </c>
      <c r="H18" s="21" t="n">
        <f aca="false">SUMPRODUCT(ISNUMBER(Scoring!$K$6:$K$105)*ISNUMBER(Scoring!$T$6:$T$105)*(Scoring!$K$6:$K$105=1))</f>
        <v>0</v>
      </c>
      <c r="I18" s="21" t="n">
        <f aca="false">SUMPRODUCT(ISNUMBER(Scoring!$K$6:$K$105)*ISNUMBER(Scoring!$T$6:$T$105)*(Scoring!$K$6:$K$105=2))</f>
        <v>0</v>
      </c>
      <c r="J18" s="21" t="n">
        <f aca="false">SUMPRODUCT(ISNUMBER(Scoring!$K$6:$K$105)*ISNUMBER(Scoring!$T$6:$T$105)*(Scoring!$T$6:$T$105=0))</f>
        <v>0</v>
      </c>
      <c r="K18" s="21" t="n">
        <f aca="false">SUMPRODUCT(ISNUMBER(Scoring!$K$6:$K$105)*ISNUMBER(Scoring!$T$6:$T$105)*(Scoring!$T$6:$T$105=1))</f>
        <v>0</v>
      </c>
      <c r="L18" s="21" t="n">
        <f aca="false">SUMPRODUCT(ISNUMBER(Scoring!$K$6:$K$105)*ISNUMBER(Scoring!$T$6:$T$105)*(Scoring!$T$6:$T$105=2))</f>
        <v>0</v>
      </c>
      <c r="M18" s="22" t="str">
        <f aca="false">IF(C18=0,"",(G18*J18+H18*K18+I18*L18)/C18^2)</f>
        <v/>
      </c>
      <c r="N18" s="22" t="str">
        <f aca="false">IF(C18=0,"",IF(M18=1,"",(E18-M18)/(1-M18)))</f>
        <v/>
      </c>
    </row>
    <row r="19" customFormat="false" ht="15" hidden="false" customHeight="false" outlineLevel="0" collapsed="false">
      <c r="A19" s="21" t="s">
        <v>775</v>
      </c>
      <c r="B19" s="21" t="s">
        <v>776</v>
      </c>
      <c r="C19" s="21" t="n">
        <f aca="false">SUMPRODUCT(ISNUMBER(Scoring!$L$6:$L$105)*ISNUMBER(Scoring!$U$6:$U$105))</f>
        <v>0</v>
      </c>
      <c r="D19" s="21" t="n">
        <f aca="false">SUMPRODUCT(ISNUMBER(Scoring!$L$6:$L$105)*ISNUMBER(Scoring!$U$6:$U$105)*(Scoring!$L$6:$L$105=Scoring!$U$6:$U$105))</f>
        <v>0</v>
      </c>
      <c r="E19" s="25" t="str">
        <f aca="false">IF(C19=0,"",D19/C19)</f>
        <v/>
      </c>
      <c r="F19" s="21" t="n">
        <f aca="false">SUMPRODUCT(ISNUMBER(Scoring!$L$6:$L$105)*ISNUMBER(Scoring!$U$6:$U$105)*(Scoring!$L$6:$L$105=0)*(Scoring!$U$6:$U$105=2))+SUMPRODUCT(ISNUMBER(Scoring!$L$6:$L$105)*ISNUMBER(Scoring!$U$6:$U$105)*(Scoring!$L$6:$L$105=2)*(Scoring!$U$6:$U$105=0))</f>
        <v>0</v>
      </c>
      <c r="G19" s="21" t="n">
        <f aca="false">SUMPRODUCT(ISNUMBER(Scoring!$L$6:$L$105)*ISNUMBER(Scoring!$U$6:$U$105)*(Scoring!$L$6:$L$105=0))</f>
        <v>0</v>
      </c>
      <c r="H19" s="21" t="n">
        <f aca="false">SUMPRODUCT(ISNUMBER(Scoring!$L$6:$L$105)*ISNUMBER(Scoring!$U$6:$U$105)*(Scoring!$L$6:$L$105=1))</f>
        <v>0</v>
      </c>
      <c r="I19" s="21" t="n">
        <f aca="false">SUMPRODUCT(ISNUMBER(Scoring!$L$6:$L$105)*ISNUMBER(Scoring!$U$6:$U$105)*(Scoring!$L$6:$L$105=2))</f>
        <v>0</v>
      </c>
      <c r="J19" s="21" t="n">
        <f aca="false">SUMPRODUCT(ISNUMBER(Scoring!$L$6:$L$105)*ISNUMBER(Scoring!$U$6:$U$105)*(Scoring!$U$6:$U$105=0))</f>
        <v>0</v>
      </c>
      <c r="K19" s="21" t="n">
        <f aca="false">SUMPRODUCT(ISNUMBER(Scoring!$L$6:$L$105)*ISNUMBER(Scoring!$U$6:$U$105)*(Scoring!$U$6:$U$105=1))</f>
        <v>0</v>
      </c>
      <c r="L19" s="21" t="n">
        <f aca="false">SUMPRODUCT(ISNUMBER(Scoring!$L$6:$L$105)*ISNUMBER(Scoring!$U$6:$U$105)*(Scoring!$U$6:$U$105=2))</f>
        <v>0</v>
      </c>
      <c r="M19" s="22" t="str">
        <f aca="false">IF(C19=0,"",(G19*J19+H19*K19+I19*L19)/C19^2)</f>
        <v/>
      </c>
      <c r="N19" s="22" t="str">
        <f aca="false">IF(C19=0,"",IF(M19=1,"",(E19-M19)/(1-M19)))</f>
        <v/>
      </c>
    </row>
    <row r="20" customFormat="false" ht="15" hidden="false" customHeight="false" outlineLevel="0" collapsed="false">
      <c r="A20" s="21" t="s">
        <v>783</v>
      </c>
      <c r="B20" s="21" t="s">
        <v>784</v>
      </c>
      <c r="C20" s="21" t="n">
        <f aca="false">SUMPRODUCT(ISNUMBER(Scoring!$M$6:$M$105)*ISNUMBER(Scoring!$V$6:$V$105))</f>
        <v>0</v>
      </c>
      <c r="D20" s="21" t="n">
        <f aca="false">SUMPRODUCT(ISNUMBER(Scoring!$M$6:$M$105)*ISNUMBER(Scoring!$V$6:$V$105)*(Scoring!$M$6:$M$105=Scoring!$V$6:$V$105))</f>
        <v>0</v>
      </c>
      <c r="E20" s="25" t="str">
        <f aca="false">IF(C20=0,"",D20/C20)</f>
        <v/>
      </c>
      <c r="F20" s="21" t="n">
        <f aca="false">SUMPRODUCT(ISNUMBER(Scoring!$M$6:$M$105)*ISNUMBER(Scoring!$V$6:$V$105)*(Scoring!$M$6:$M$105=0)*(Scoring!$V$6:$V$105=2))+SUMPRODUCT(ISNUMBER(Scoring!$M$6:$M$105)*ISNUMBER(Scoring!$V$6:$V$105)*(Scoring!$M$6:$M$105=2)*(Scoring!$V$6:$V$105=0))</f>
        <v>0</v>
      </c>
      <c r="G20" s="21" t="n">
        <f aca="false">SUMPRODUCT(ISNUMBER(Scoring!$M$6:$M$105)*ISNUMBER(Scoring!$V$6:$V$105)*(Scoring!$M$6:$M$105=0))</f>
        <v>0</v>
      </c>
      <c r="H20" s="21" t="n">
        <f aca="false">SUMPRODUCT(ISNUMBER(Scoring!$M$6:$M$105)*ISNUMBER(Scoring!$V$6:$V$105)*(Scoring!$M$6:$M$105=1))</f>
        <v>0</v>
      </c>
      <c r="I20" s="21" t="n">
        <f aca="false">SUMPRODUCT(ISNUMBER(Scoring!$M$6:$M$105)*ISNUMBER(Scoring!$V$6:$V$105)*(Scoring!$M$6:$M$105=2))</f>
        <v>0</v>
      </c>
      <c r="J20" s="21" t="n">
        <f aca="false">SUMPRODUCT(ISNUMBER(Scoring!$M$6:$M$105)*ISNUMBER(Scoring!$V$6:$V$105)*(Scoring!$V$6:$V$105=0))</f>
        <v>0</v>
      </c>
      <c r="K20" s="21" t="n">
        <f aca="false">SUMPRODUCT(ISNUMBER(Scoring!$M$6:$M$105)*ISNUMBER(Scoring!$V$6:$V$105)*(Scoring!$V$6:$V$105=1))</f>
        <v>0</v>
      </c>
      <c r="L20" s="21" t="n">
        <f aca="false">SUMPRODUCT(ISNUMBER(Scoring!$M$6:$M$105)*ISNUMBER(Scoring!$V$6:$V$105)*(Scoring!$V$6:$V$105=2))</f>
        <v>0</v>
      </c>
      <c r="M20" s="22" t="str">
        <f aca="false">IF(C20=0,"",(G20*J20+H20*K20+I20*L20)/C20^2)</f>
        <v/>
      </c>
      <c r="N20" s="22" t="str">
        <f aca="false">IF(C20=0,"",IF(M20=1,"",(E20-M20)/(1-M20)))</f>
        <v/>
      </c>
    </row>
    <row r="21" customFormat="false" ht="15" hidden="false" customHeight="false" outlineLevel="0" collapsed="false">
      <c r="A21" s="21" t="s">
        <v>791</v>
      </c>
      <c r="B21" s="21" t="s">
        <v>792</v>
      </c>
      <c r="C21" s="21" t="n">
        <f aca="false">SUMPRODUCT(ISNUMBER(Scoring!$N$6:$N$105)*ISNUMBER(Scoring!$W$6:$W$105))</f>
        <v>0</v>
      </c>
      <c r="D21" s="21" t="n">
        <f aca="false">SUMPRODUCT(ISNUMBER(Scoring!$N$6:$N$105)*ISNUMBER(Scoring!$W$6:$W$105)*(Scoring!$N$6:$N$105=Scoring!$W$6:$W$105))</f>
        <v>0</v>
      </c>
      <c r="E21" s="25" t="str">
        <f aca="false">IF(C21=0,"",D21/C21)</f>
        <v/>
      </c>
      <c r="F21" s="21" t="n">
        <f aca="false">SUMPRODUCT(ISNUMBER(Scoring!$N$6:$N$105)*ISNUMBER(Scoring!$W$6:$W$105)*(Scoring!$N$6:$N$105=0)*(Scoring!$W$6:$W$105=2))+SUMPRODUCT(ISNUMBER(Scoring!$N$6:$N$105)*ISNUMBER(Scoring!$W$6:$W$105)*(Scoring!$N$6:$N$105=2)*(Scoring!$W$6:$W$105=0))</f>
        <v>0</v>
      </c>
      <c r="G21" s="21" t="n">
        <f aca="false">SUMPRODUCT(ISNUMBER(Scoring!$N$6:$N$105)*ISNUMBER(Scoring!$W$6:$W$105)*(Scoring!$N$6:$N$105=0))</f>
        <v>0</v>
      </c>
      <c r="H21" s="21" t="n">
        <f aca="false">SUMPRODUCT(ISNUMBER(Scoring!$N$6:$N$105)*ISNUMBER(Scoring!$W$6:$W$105)*(Scoring!$N$6:$N$105=1))</f>
        <v>0</v>
      </c>
      <c r="I21" s="21" t="n">
        <f aca="false">SUMPRODUCT(ISNUMBER(Scoring!$N$6:$N$105)*ISNUMBER(Scoring!$W$6:$W$105)*(Scoring!$N$6:$N$105=2))</f>
        <v>0</v>
      </c>
      <c r="J21" s="21" t="n">
        <f aca="false">SUMPRODUCT(ISNUMBER(Scoring!$N$6:$N$105)*ISNUMBER(Scoring!$W$6:$W$105)*(Scoring!$W$6:$W$105=0))</f>
        <v>0</v>
      </c>
      <c r="K21" s="21" t="n">
        <f aca="false">SUMPRODUCT(ISNUMBER(Scoring!$N$6:$N$105)*ISNUMBER(Scoring!$W$6:$W$105)*(Scoring!$W$6:$W$105=1))</f>
        <v>0</v>
      </c>
      <c r="L21" s="21" t="n">
        <f aca="false">SUMPRODUCT(ISNUMBER(Scoring!$N$6:$N$105)*ISNUMBER(Scoring!$W$6:$W$105)*(Scoring!$W$6:$W$105=2))</f>
        <v>0</v>
      </c>
      <c r="M21" s="22" t="str">
        <f aca="false">IF(C21=0,"",(G21*J21+H21*K21+I21*L21)/C21^2)</f>
        <v/>
      </c>
      <c r="N21" s="22" t="str">
        <f aca="false">IF(C21=0,"",IF(M21=1,"",(E21-M21)/(1-M21)))</f>
        <v/>
      </c>
    </row>
    <row r="22" customFormat="false" ht="15" hidden="false" customHeight="false" outlineLevel="0" collapsed="false">
      <c r="A22" s="21" t="s">
        <v>799</v>
      </c>
      <c r="B22" s="21" t="s">
        <v>800</v>
      </c>
      <c r="C22" s="21" t="n">
        <f aca="false">SUMPRODUCT(ISNUMBER(Scoring!$O$6:$O$105)*ISNUMBER(Scoring!$X$6:$X$105))</f>
        <v>0</v>
      </c>
      <c r="D22" s="21" t="n">
        <f aca="false">SUMPRODUCT(ISNUMBER(Scoring!$O$6:$O$105)*ISNUMBER(Scoring!$X$6:$X$105)*(Scoring!$O$6:$O$105=Scoring!$X$6:$X$105))</f>
        <v>0</v>
      </c>
      <c r="E22" s="25" t="str">
        <f aca="false">IF(C22=0,"",D22/C22)</f>
        <v/>
      </c>
      <c r="F22" s="21" t="n">
        <f aca="false">SUMPRODUCT(ISNUMBER(Scoring!$O$6:$O$105)*ISNUMBER(Scoring!$X$6:$X$105)*(Scoring!$O$6:$O$105=0)*(Scoring!$X$6:$X$105=2))+SUMPRODUCT(ISNUMBER(Scoring!$O$6:$O$105)*ISNUMBER(Scoring!$X$6:$X$105)*(Scoring!$O$6:$O$105=2)*(Scoring!$X$6:$X$105=0))</f>
        <v>0</v>
      </c>
      <c r="G22" s="21" t="n">
        <f aca="false">SUMPRODUCT(ISNUMBER(Scoring!$O$6:$O$105)*ISNUMBER(Scoring!$X$6:$X$105)*(Scoring!$O$6:$O$105=0))</f>
        <v>0</v>
      </c>
      <c r="H22" s="21" t="n">
        <f aca="false">SUMPRODUCT(ISNUMBER(Scoring!$O$6:$O$105)*ISNUMBER(Scoring!$X$6:$X$105)*(Scoring!$O$6:$O$105=1))</f>
        <v>0</v>
      </c>
      <c r="I22" s="21" t="n">
        <f aca="false">SUMPRODUCT(ISNUMBER(Scoring!$O$6:$O$105)*ISNUMBER(Scoring!$X$6:$X$105)*(Scoring!$O$6:$O$105=2))</f>
        <v>0</v>
      </c>
      <c r="J22" s="21" t="n">
        <f aca="false">SUMPRODUCT(ISNUMBER(Scoring!$O$6:$O$105)*ISNUMBER(Scoring!$X$6:$X$105)*(Scoring!$X$6:$X$105=0))</f>
        <v>0</v>
      </c>
      <c r="K22" s="21" t="n">
        <f aca="false">SUMPRODUCT(ISNUMBER(Scoring!$O$6:$O$105)*ISNUMBER(Scoring!$X$6:$X$105)*(Scoring!$X$6:$X$105=1))</f>
        <v>0</v>
      </c>
      <c r="L22" s="21" t="n">
        <f aca="false">SUMPRODUCT(ISNUMBER(Scoring!$O$6:$O$105)*ISNUMBER(Scoring!$X$6:$X$105)*(Scoring!$X$6:$X$105=2))</f>
        <v>0</v>
      </c>
      <c r="M22" s="22" t="str">
        <f aca="false">IF(C22=0,"",(G22*J22+H22*K22+I22*L22)/C22^2)</f>
        <v/>
      </c>
      <c r="N22" s="22" t="str">
        <f aca="false">IF(C22=0,"",IF(M22=1,"",(E22-M22)/(1-M22)))</f>
        <v/>
      </c>
    </row>
    <row r="23" customFormat="false" ht="15" hidden="false" customHeight="false" outlineLevel="0" collapsed="false">
      <c r="A23" s="21" t="s">
        <v>806</v>
      </c>
      <c r="B23" s="21" t="s">
        <v>807</v>
      </c>
      <c r="C23" s="21" t="n">
        <f aca="false">SUMPRODUCT(ISNUMBER(Scoring!$P$6:$P$105)*ISNUMBER(Scoring!$Y$6:$Y$105))</f>
        <v>0</v>
      </c>
      <c r="D23" s="21" t="n">
        <f aca="false">SUMPRODUCT(ISNUMBER(Scoring!$P$6:$P$105)*ISNUMBER(Scoring!$Y$6:$Y$105)*(Scoring!$P$6:$P$105=Scoring!$Y$6:$Y$105))</f>
        <v>0</v>
      </c>
      <c r="E23" s="25" t="str">
        <f aca="false">IF(C23=0,"",D23/C23)</f>
        <v/>
      </c>
      <c r="F23" s="21" t="n">
        <f aca="false">SUMPRODUCT(ISNUMBER(Scoring!$P$6:$P$105)*ISNUMBER(Scoring!$Y$6:$Y$105)*(Scoring!$P$6:$P$105=0)*(Scoring!$Y$6:$Y$105=2))+SUMPRODUCT(ISNUMBER(Scoring!$P$6:$P$105)*ISNUMBER(Scoring!$Y$6:$Y$105)*(Scoring!$P$6:$P$105=2)*(Scoring!$Y$6:$Y$105=0))</f>
        <v>0</v>
      </c>
      <c r="G23" s="21" t="n">
        <f aca="false">SUMPRODUCT(ISNUMBER(Scoring!$P$6:$P$105)*ISNUMBER(Scoring!$Y$6:$Y$105)*(Scoring!$P$6:$P$105=0))</f>
        <v>0</v>
      </c>
      <c r="H23" s="21" t="n">
        <f aca="false">SUMPRODUCT(ISNUMBER(Scoring!$P$6:$P$105)*ISNUMBER(Scoring!$Y$6:$Y$105)*(Scoring!$P$6:$P$105=1))</f>
        <v>0</v>
      </c>
      <c r="I23" s="21" t="n">
        <f aca="false">SUMPRODUCT(ISNUMBER(Scoring!$P$6:$P$105)*ISNUMBER(Scoring!$Y$6:$Y$105)*(Scoring!$P$6:$P$105=2))</f>
        <v>0</v>
      </c>
      <c r="J23" s="21" t="n">
        <f aca="false">SUMPRODUCT(ISNUMBER(Scoring!$P$6:$P$105)*ISNUMBER(Scoring!$Y$6:$Y$105)*(Scoring!$Y$6:$Y$105=0))</f>
        <v>0</v>
      </c>
      <c r="K23" s="21" t="n">
        <f aca="false">SUMPRODUCT(ISNUMBER(Scoring!$P$6:$P$105)*ISNUMBER(Scoring!$Y$6:$Y$105)*(Scoring!$Y$6:$Y$105=1))</f>
        <v>0</v>
      </c>
      <c r="L23" s="21" t="n">
        <f aca="false">SUMPRODUCT(ISNUMBER(Scoring!$P$6:$P$105)*ISNUMBER(Scoring!$Y$6:$Y$105)*(Scoring!$Y$6:$Y$105=2))</f>
        <v>0</v>
      </c>
      <c r="M23" s="22" t="str">
        <f aca="false">IF(C23=0,"",(G23*J23+H23*K23+I23*L23)/C23^2)</f>
        <v/>
      </c>
      <c r="N23" s="22" t="str">
        <f aca="false">IF(C23=0,"",IF(M23=1,"",(E23-M23)/(1-M23)))</f>
        <v/>
      </c>
    </row>
    <row r="24" customFormat="false" ht="15" hidden="false" customHeight="false" outlineLevel="0" collapsed="false">
      <c r="A24" s="21" t="s">
        <v>814</v>
      </c>
      <c r="B24" s="21" t="s">
        <v>815</v>
      </c>
      <c r="C24" s="21" t="n">
        <f aca="false">SUMPRODUCT(ISNUMBER(Scoring!$Q$6:$Q$105)*ISNUMBER(Scoring!$Z$6:$Z$105))</f>
        <v>0</v>
      </c>
      <c r="D24" s="21" t="n">
        <f aca="false">SUMPRODUCT(ISNUMBER(Scoring!$Q$6:$Q$105)*ISNUMBER(Scoring!$Z$6:$Z$105)*(Scoring!$Q$6:$Q$105=Scoring!$Z$6:$Z$105))</f>
        <v>0</v>
      </c>
      <c r="E24" s="25" t="str">
        <f aca="false">IF(C24=0,"",D24/C24)</f>
        <v/>
      </c>
      <c r="F24" s="21" t="n">
        <f aca="false">SUMPRODUCT(ISNUMBER(Scoring!$Q$6:$Q$105)*ISNUMBER(Scoring!$Z$6:$Z$105)*(Scoring!$Q$6:$Q$105=0)*(Scoring!$Z$6:$Z$105=2))+SUMPRODUCT(ISNUMBER(Scoring!$Q$6:$Q$105)*ISNUMBER(Scoring!$Z$6:$Z$105)*(Scoring!$Q$6:$Q$105=2)*(Scoring!$Z$6:$Z$105=0))</f>
        <v>0</v>
      </c>
      <c r="G24" s="21" t="n">
        <f aca="false">SUMPRODUCT(ISNUMBER(Scoring!$Q$6:$Q$105)*ISNUMBER(Scoring!$Z$6:$Z$105)*(Scoring!$Q$6:$Q$105=0))</f>
        <v>0</v>
      </c>
      <c r="H24" s="21" t="n">
        <f aca="false">SUMPRODUCT(ISNUMBER(Scoring!$Q$6:$Q$105)*ISNUMBER(Scoring!$Z$6:$Z$105)*(Scoring!$Q$6:$Q$105=1))</f>
        <v>0</v>
      </c>
      <c r="I24" s="21" t="n">
        <f aca="false">SUMPRODUCT(ISNUMBER(Scoring!$Q$6:$Q$105)*ISNUMBER(Scoring!$Z$6:$Z$105)*(Scoring!$Q$6:$Q$105=2))</f>
        <v>0</v>
      </c>
      <c r="J24" s="21" t="n">
        <f aca="false">SUMPRODUCT(ISNUMBER(Scoring!$Q$6:$Q$105)*ISNUMBER(Scoring!$Z$6:$Z$105)*(Scoring!$Z$6:$Z$105=0))</f>
        <v>0</v>
      </c>
      <c r="K24" s="21" t="n">
        <f aca="false">SUMPRODUCT(ISNUMBER(Scoring!$Q$6:$Q$105)*ISNUMBER(Scoring!$Z$6:$Z$105)*(Scoring!$Z$6:$Z$105=1))</f>
        <v>0</v>
      </c>
      <c r="L24" s="21" t="n">
        <f aca="false">SUMPRODUCT(ISNUMBER(Scoring!$Q$6:$Q$105)*ISNUMBER(Scoring!$Z$6:$Z$105)*(Scoring!$Z$6:$Z$105=2))</f>
        <v>0</v>
      </c>
      <c r="M24" s="22" t="str">
        <f aca="false">IF(C24=0,"",(G24*J24+H24*K24+I24*L24)/C24^2)</f>
        <v/>
      </c>
      <c r="N24" s="22" t="str">
        <f aca="false">IF(C24=0,"",IF(M24=1,"",(E24-M24)/(1-M24)))</f>
        <v/>
      </c>
    </row>
    <row r="25" customFormat="false" ht="15" hidden="false" customHeight="false" outlineLevel="0" collapsed="false">
      <c r="A25" s="21" t="s">
        <v>822</v>
      </c>
      <c r="B25" s="21" t="s">
        <v>823</v>
      </c>
      <c r="C25" s="21" t="n">
        <f aca="false">SUMPRODUCT(ISNUMBER(Scoring!$R$6:$R$105)*ISNUMBER(Scoring!$AA$6:$AA$105))</f>
        <v>0</v>
      </c>
      <c r="D25" s="21" t="n">
        <f aca="false">SUMPRODUCT(ISNUMBER(Scoring!$R$6:$R$105)*ISNUMBER(Scoring!$AA$6:$AA$105)*(Scoring!$R$6:$R$105=Scoring!$AA$6:$AA$105))</f>
        <v>0</v>
      </c>
      <c r="E25" s="25" t="str">
        <f aca="false">IF(C25=0,"",D25/C25)</f>
        <v/>
      </c>
      <c r="F25" s="21" t="n">
        <f aca="false">SUMPRODUCT(ISNUMBER(Scoring!$R$6:$R$105)*ISNUMBER(Scoring!$AA$6:$AA$105)*(Scoring!$R$6:$R$105=0)*(Scoring!$AA$6:$AA$105=2))+SUMPRODUCT(ISNUMBER(Scoring!$R$6:$R$105)*ISNUMBER(Scoring!$AA$6:$AA$105)*(Scoring!$R$6:$R$105=2)*(Scoring!$AA$6:$AA$105=0))</f>
        <v>0</v>
      </c>
      <c r="G25" s="21" t="n">
        <f aca="false">SUMPRODUCT(ISNUMBER(Scoring!$R$6:$R$105)*ISNUMBER(Scoring!$AA$6:$AA$105)*(Scoring!$R$6:$R$105=0))</f>
        <v>0</v>
      </c>
      <c r="H25" s="21" t="n">
        <f aca="false">SUMPRODUCT(ISNUMBER(Scoring!$R$6:$R$105)*ISNUMBER(Scoring!$AA$6:$AA$105)*(Scoring!$R$6:$R$105=1))</f>
        <v>0</v>
      </c>
      <c r="I25" s="21" t="n">
        <f aca="false">SUMPRODUCT(ISNUMBER(Scoring!$R$6:$R$105)*ISNUMBER(Scoring!$AA$6:$AA$105)*(Scoring!$R$6:$R$105=2))</f>
        <v>0</v>
      </c>
      <c r="J25" s="21" t="n">
        <f aca="false">SUMPRODUCT(ISNUMBER(Scoring!$R$6:$R$105)*ISNUMBER(Scoring!$AA$6:$AA$105)*(Scoring!$AA$6:$AA$105=0))</f>
        <v>0</v>
      </c>
      <c r="K25" s="21" t="n">
        <f aca="false">SUMPRODUCT(ISNUMBER(Scoring!$R$6:$R$105)*ISNUMBER(Scoring!$AA$6:$AA$105)*(Scoring!$AA$6:$AA$105=1))</f>
        <v>0</v>
      </c>
      <c r="L25" s="21" t="n">
        <f aca="false">SUMPRODUCT(ISNUMBER(Scoring!$R$6:$R$105)*ISNUMBER(Scoring!$AA$6:$AA$105)*(Scoring!$AA$6:$AA$105=2))</f>
        <v>0</v>
      </c>
      <c r="M25" s="22" t="str">
        <f aca="false">IF(C25=0,"",(G25*J25+H25*K25+I25*L25)/C25^2)</f>
        <v/>
      </c>
      <c r="N25" s="22" t="str">
        <f aca="false">IF(C25=0,"",IF(M25=1,"",(E25-M25)/(1-M25)))</f>
        <v/>
      </c>
    </row>
    <row r="26" customFormat="false" ht="15" hidden="false" customHeight="false" outlineLevel="0" collapsed="false">
      <c r="A26" s="23" t="s">
        <v>928</v>
      </c>
      <c r="B26" s="23" t="s">
        <v>929</v>
      </c>
      <c r="C26" s="23" t="n">
        <f aca="false">SUM(C17:C25)</f>
        <v>0</v>
      </c>
      <c r="D26" s="23" t="n">
        <f aca="false">SUM(D17:D25)</f>
        <v>0</v>
      </c>
      <c r="E26" s="26" t="str">
        <f aca="false">IF(C26=0,"",D26/C26)</f>
        <v/>
      </c>
      <c r="F26" s="23" t="n">
        <f aca="false">SUM(F17:F25)</f>
        <v>0</v>
      </c>
      <c r="G26" s="23" t="n">
        <f aca="false">SUM(G17:G25)</f>
        <v>0</v>
      </c>
      <c r="H26" s="23" t="n">
        <f aca="false">SUM(H17:H25)</f>
        <v>0</v>
      </c>
      <c r="I26" s="23" t="n">
        <f aca="false">SUM(I17:I25)</f>
        <v>0</v>
      </c>
      <c r="J26" s="23" t="n">
        <f aca="false">SUM(J17:J25)</f>
        <v>0</v>
      </c>
      <c r="K26" s="23" t="n">
        <f aca="false">SUM(K17:K25)</f>
        <v>0</v>
      </c>
      <c r="L26" s="23" t="n">
        <f aca="false">SUM(L17:L25)</f>
        <v>0</v>
      </c>
      <c r="M26" s="24" t="str">
        <f aca="false">IF(C26=0,"",(G26*J26+H26*K26+I26*L26)/C26^2)</f>
        <v/>
      </c>
      <c r="N26" s="24" t="str">
        <f aca="false">IF(C26=0,"",IF(M26=1,"",(E26-M26)/(1-M26)))</f>
        <v/>
      </c>
    </row>
    <row r="27" customFormat="false" ht="43.5" hidden="false" customHeight="true" outlineLevel="0" collapsed="false">
      <c r="A27" s="11" t="s">
        <v>930</v>
      </c>
      <c r="B27" s="11"/>
      <c r="C27" s="11"/>
      <c r="D27" s="11"/>
      <c r="E27" s="11"/>
      <c r="F27" s="11"/>
      <c r="G27" s="11"/>
      <c r="H27" s="11"/>
      <c r="I27" s="11"/>
      <c r="J27" s="11"/>
      <c r="K27" s="11"/>
      <c r="L27" s="11"/>
      <c r="M27" s="11"/>
      <c r="N27" s="11"/>
    </row>
    <row r="29" customFormat="false" ht="15" hidden="false" customHeight="false" outlineLevel="0" collapsed="false">
      <c r="A29" s="4" t="s">
        <v>931</v>
      </c>
    </row>
    <row r="30" customFormat="false" ht="33.75" hidden="false" customHeight="true" outlineLevel="0" collapsed="false">
      <c r="A30" s="5" t="s">
        <v>889</v>
      </c>
      <c r="B30" s="5" t="s">
        <v>932</v>
      </c>
      <c r="C30" s="5" t="s">
        <v>933</v>
      </c>
      <c r="D30" s="5" t="s">
        <v>759</v>
      </c>
      <c r="E30" s="5" t="s">
        <v>767</v>
      </c>
      <c r="F30" s="5" t="s">
        <v>775</v>
      </c>
      <c r="G30" s="5" t="s">
        <v>783</v>
      </c>
      <c r="H30" s="5" t="s">
        <v>791</v>
      </c>
      <c r="I30" s="5" t="s">
        <v>799</v>
      </c>
      <c r="J30" s="5" t="s">
        <v>806</v>
      </c>
      <c r="K30" s="5" t="s">
        <v>814</v>
      </c>
      <c r="L30" s="5" t="s">
        <v>822</v>
      </c>
    </row>
    <row r="31" customFormat="false" ht="15" hidden="false" customHeight="false" outlineLevel="0" collapsed="false">
      <c r="A31" s="21" t="str">
        <f aca="false">Lists!D2</f>
        <v>Company / industry source</v>
      </c>
      <c r="B31" s="21" t="n">
        <f aca="false">COUNTIFS(Scoring!$G$6:$G$105,$A31,Scoring!$AK$6:$AK$105,"&gt;=0")</f>
        <v>0</v>
      </c>
      <c r="C31" s="22" t="str">
        <f aca="false">IFERROR(AVERAGEIFS(Scoring!$AK$6:$AK$105,Scoring!$G$6:$G$105,$A31),"")</f>
        <v/>
      </c>
      <c r="D31" s="22" t="str">
        <f aca="false">IFERROR(AVERAGEIFS(Scoring!$AB$6:$AB$105,Scoring!$G$6:$G$105,$A31),"")</f>
        <v/>
      </c>
      <c r="E31" s="22" t="str">
        <f aca="false">IFERROR(AVERAGEIFS(Scoring!$AC$6:$AC$105,Scoring!$G$6:$G$105,$A31),"")</f>
        <v/>
      </c>
      <c r="F31" s="22" t="str">
        <f aca="false">IFERROR(AVERAGEIFS(Scoring!$AD$6:$AD$105,Scoring!$G$6:$G$105,$A31),"")</f>
        <v/>
      </c>
      <c r="G31" s="22" t="str">
        <f aca="false">IFERROR(AVERAGEIFS(Scoring!$AE$6:$AE$105,Scoring!$G$6:$G$105,$A31),"")</f>
        <v/>
      </c>
      <c r="H31" s="22" t="str">
        <f aca="false">IFERROR(AVERAGEIFS(Scoring!$AF$6:$AF$105,Scoring!$G$6:$G$105,$A31),"")</f>
        <v/>
      </c>
      <c r="I31" s="22" t="str">
        <f aca="false">IFERROR(AVERAGEIFS(Scoring!$AG$6:$AG$105,Scoring!$G$6:$G$105,$A31),"")</f>
        <v/>
      </c>
      <c r="J31" s="22" t="str">
        <f aca="false">IFERROR(AVERAGEIFS(Scoring!$AH$6:$AH$105,Scoring!$G$6:$G$105,$A31),"")</f>
        <v/>
      </c>
      <c r="K31" s="22" t="str">
        <f aca="false">IFERROR(AVERAGEIFS(Scoring!$AI$6:$AI$105,Scoring!$G$6:$G$105,$A31),"")</f>
        <v/>
      </c>
      <c r="L31" s="22" t="str">
        <f aca="false">IFERROR(AVERAGEIFS(Scoring!$AJ$6:$AJ$105,Scoring!$G$6:$G$105,$A31),"")</f>
        <v/>
      </c>
    </row>
    <row r="32" customFormat="false" ht="15" hidden="false" customHeight="false" outlineLevel="0" collapsed="false">
      <c r="A32" s="21" t="str">
        <f aca="false">Lists!D3</f>
        <v>Mixed academic-industry authors</v>
      </c>
      <c r="B32" s="21" t="n">
        <f aca="false">COUNTIFS(Scoring!$G$6:$G$105,$A32,Scoring!$AK$6:$AK$105,"&gt;=0")</f>
        <v>0</v>
      </c>
      <c r="C32" s="22" t="str">
        <f aca="false">IFERROR(AVERAGEIFS(Scoring!$AK$6:$AK$105,Scoring!$G$6:$G$105,$A32),"")</f>
        <v/>
      </c>
      <c r="D32" s="22" t="str">
        <f aca="false">IFERROR(AVERAGEIFS(Scoring!$AB$6:$AB$105,Scoring!$G$6:$G$105,$A32),"")</f>
        <v/>
      </c>
      <c r="E32" s="22" t="str">
        <f aca="false">IFERROR(AVERAGEIFS(Scoring!$AC$6:$AC$105,Scoring!$G$6:$G$105,$A32),"")</f>
        <v/>
      </c>
      <c r="F32" s="22" t="str">
        <f aca="false">IFERROR(AVERAGEIFS(Scoring!$AD$6:$AD$105,Scoring!$G$6:$G$105,$A32),"")</f>
        <v/>
      </c>
      <c r="G32" s="22" t="str">
        <f aca="false">IFERROR(AVERAGEIFS(Scoring!$AE$6:$AE$105,Scoring!$G$6:$G$105,$A32),"")</f>
        <v/>
      </c>
      <c r="H32" s="22" t="str">
        <f aca="false">IFERROR(AVERAGEIFS(Scoring!$AF$6:$AF$105,Scoring!$G$6:$G$105,$A32),"")</f>
        <v/>
      </c>
      <c r="I32" s="22" t="str">
        <f aca="false">IFERROR(AVERAGEIFS(Scoring!$AG$6:$AG$105,Scoring!$G$6:$G$105,$A32),"")</f>
        <v/>
      </c>
      <c r="J32" s="22" t="str">
        <f aca="false">IFERROR(AVERAGEIFS(Scoring!$AH$6:$AH$105,Scoring!$G$6:$G$105,$A32),"")</f>
        <v/>
      </c>
      <c r="K32" s="22" t="str">
        <f aca="false">IFERROR(AVERAGEIFS(Scoring!$AI$6:$AI$105,Scoring!$G$6:$G$105,$A32),"")</f>
        <v/>
      </c>
      <c r="L32" s="22" t="str">
        <f aca="false">IFERROR(AVERAGEIFS(Scoring!$AJ$6:$AJ$105,Scoring!$G$6:$G$105,$A32),"")</f>
        <v/>
      </c>
    </row>
    <row r="33" customFormat="false" ht="15" hidden="false" customHeight="false" outlineLevel="0" collapsed="false">
      <c r="A33" s="21" t="str">
        <f aca="false">Lists!D4</f>
        <v>Academic, declared industry COI</v>
      </c>
      <c r="B33" s="21" t="n">
        <f aca="false">COUNTIFS(Scoring!$G$6:$G$105,$A33,Scoring!$AK$6:$AK$105,"&gt;=0")</f>
        <v>0</v>
      </c>
      <c r="C33" s="22" t="str">
        <f aca="false">IFERROR(AVERAGEIFS(Scoring!$AK$6:$AK$105,Scoring!$G$6:$G$105,$A33),"")</f>
        <v/>
      </c>
      <c r="D33" s="22" t="str">
        <f aca="false">IFERROR(AVERAGEIFS(Scoring!$AB$6:$AB$105,Scoring!$G$6:$G$105,$A33),"")</f>
        <v/>
      </c>
      <c r="E33" s="22" t="str">
        <f aca="false">IFERROR(AVERAGEIFS(Scoring!$AC$6:$AC$105,Scoring!$G$6:$G$105,$A33),"")</f>
        <v/>
      </c>
      <c r="F33" s="22" t="str">
        <f aca="false">IFERROR(AVERAGEIFS(Scoring!$AD$6:$AD$105,Scoring!$G$6:$G$105,$A33),"")</f>
        <v/>
      </c>
      <c r="G33" s="22" t="str">
        <f aca="false">IFERROR(AVERAGEIFS(Scoring!$AE$6:$AE$105,Scoring!$G$6:$G$105,$A33),"")</f>
        <v/>
      </c>
      <c r="H33" s="22" t="str">
        <f aca="false">IFERROR(AVERAGEIFS(Scoring!$AF$6:$AF$105,Scoring!$G$6:$G$105,$A33),"")</f>
        <v/>
      </c>
      <c r="I33" s="22" t="str">
        <f aca="false">IFERROR(AVERAGEIFS(Scoring!$AG$6:$AG$105,Scoring!$G$6:$G$105,$A33),"")</f>
        <v/>
      </c>
      <c r="J33" s="22" t="str">
        <f aca="false">IFERROR(AVERAGEIFS(Scoring!$AH$6:$AH$105,Scoring!$G$6:$G$105,$A33),"")</f>
        <v/>
      </c>
      <c r="K33" s="22" t="str">
        <f aca="false">IFERROR(AVERAGEIFS(Scoring!$AI$6:$AI$105,Scoring!$G$6:$G$105,$A33),"")</f>
        <v/>
      </c>
      <c r="L33" s="22" t="str">
        <f aca="false">IFERROR(AVERAGEIFS(Scoring!$AJ$6:$AJ$105,Scoring!$G$6:$G$105,$A33),"")</f>
        <v/>
      </c>
    </row>
    <row r="34" customFormat="false" ht="15" hidden="false" customHeight="false" outlineLevel="0" collapsed="false">
      <c r="A34" s="21" t="str">
        <f aca="false">Lists!D5</f>
        <v>Academic, none declared</v>
      </c>
      <c r="B34" s="21" t="n">
        <f aca="false">COUNTIFS(Scoring!$G$6:$G$105,$A34,Scoring!$AK$6:$AK$105,"&gt;=0")</f>
        <v>0</v>
      </c>
      <c r="C34" s="22" t="str">
        <f aca="false">IFERROR(AVERAGEIFS(Scoring!$AK$6:$AK$105,Scoring!$G$6:$G$105,$A34),"")</f>
        <v/>
      </c>
      <c r="D34" s="22" t="str">
        <f aca="false">IFERROR(AVERAGEIFS(Scoring!$AB$6:$AB$105,Scoring!$G$6:$G$105,$A34),"")</f>
        <v/>
      </c>
      <c r="E34" s="22" t="str">
        <f aca="false">IFERROR(AVERAGEIFS(Scoring!$AC$6:$AC$105,Scoring!$G$6:$G$105,$A34),"")</f>
        <v/>
      </c>
      <c r="F34" s="22" t="str">
        <f aca="false">IFERROR(AVERAGEIFS(Scoring!$AD$6:$AD$105,Scoring!$G$6:$G$105,$A34),"")</f>
        <v/>
      </c>
      <c r="G34" s="22" t="str">
        <f aca="false">IFERROR(AVERAGEIFS(Scoring!$AE$6:$AE$105,Scoring!$G$6:$G$105,$A34),"")</f>
        <v/>
      </c>
      <c r="H34" s="22" t="str">
        <f aca="false">IFERROR(AVERAGEIFS(Scoring!$AF$6:$AF$105,Scoring!$G$6:$G$105,$A34),"")</f>
        <v/>
      </c>
      <c r="I34" s="22" t="str">
        <f aca="false">IFERROR(AVERAGEIFS(Scoring!$AG$6:$AG$105,Scoring!$G$6:$G$105,$A34),"")</f>
        <v/>
      </c>
      <c r="J34" s="22" t="str">
        <f aca="false">IFERROR(AVERAGEIFS(Scoring!$AH$6:$AH$105,Scoring!$G$6:$G$105,$A34),"")</f>
        <v/>
      </c>
      <c r="K34" s="22" t="str">
        <f aca="false">IFERROR(AVERAGEIFS(Scoring!$AI$6:$AI$105,Scoring!$G$6:$G$105,$A34),"")</f>
        <v/>
      </c>
      <c r="L34" s="22" t="str">
        <f aca="false">IFERROR(AVERAGEIFS(Scoring!$AJ$6:$AJ$105,Scoring!$G$6:$G$105,$A34),"")</f>
        <v/>
      </c>
    </row>
    <row r="35" customFormat="false" ht="15" hidden="false" customHeight="false" outlineLevel="0" collapsed="false">
      <c r="A35" s="21" t="str">
        <f aca="false">Lists!D6</f>
        <v>Not checked</v>
      </c>
      <c r="B35" s="21" t="n">
        <f aca="false">COUNTIFS(Scoring!$G$6:$G$105,$A35,Scoring!$AK$6:$AK$105,"&gt;=0")</f>
        <v>0</v>
      </c>
      <c r="C35" s="22" t="str">
        <f aca="false">IFERROR(AVERAGEIFS(Scoring!$AK$6:$AK$105,Scoring!$G$6:$G$105,$A35),"")</f>
        <v/>
      </c>
      <c r="D35" s="22" t="str">
        <f aca="false">IFERROR(AVERAGEIFS(Scoring!$AB$6:$AB$105,Scoring!$G$6:$G$105,$A35),"")</f>
        <v/>
      </c>
      <c r="E35" s="22" t="str">
        <f aca="false">IFERROR(AVERAGEIFS(Scoring!$AC$6:$AC$105,Scoring!$G$6:$G$105,$A35),"")</f>
        <v/>
      </c>
      <c r="F35" s="22" t="str">
        <f aca="false">IFERROR(AVERAGEIFS(Scoring!$AD$6:$AD$105,Scoring!$G$6:$G$105,$A35),"")</f>
        <v/>
      </c>
      <c r="G35" s="22" t="str">
        <f aca="false">IFERROR(AVERAGEIFS(Scoring!$AE$6:$AE$105,Scoring!$G$6:$G$105,$A35),"")</f>
        <v/>
      </c>
      <c r="H35" s="22" t="str">
        <f aca="false">IFERROR(AVERAGEIFS(Scoring!$AF$6:$AF$105,Scoring!$G$6:$G$105,$A35),"")</f>
        <v/>
      </c>
      <c r="I35" s="22" t="str">
        <f aca="false">IFERROR(AVERAGEIFS(Scoring!$AG$6:$AG$105,Scoring!$G$6:$G$105,$A35),"")</f>
        <v/>
      </c>
      <c r="J35" s="22" t="str">
        <f aca="false">IFERROR(AVERAGEIFS(Scoring!$AH$6:$AH$105,Scoring!$G$6:$G$105,$A35),"")</f>
        <v/>
      </c>
      <c r="K35" s="22" t="str">
        <f aca="false">IFERROR(AVERAGEIFS(Scoring!$AI$6:$AI$105,Scoring!$G$6:$G$105,$A35),"")</f>
        <v/>
      </c>
      <c r="L35" s="22" t="str">
        <f aca="false">IFERROR(AVERAGEIFS(Scoring!$AJ$6:$AJ$105,Scoring!$G$6:$G$105,$A35),"")</f>
        <v/>
      </c>
    </row>
    <row r="36" customFormat="false" ht="31.5" hidden="false" customHeight="true" outlineLevel="0" collapsed="false">
      <c r="A36" s="11" t="s">
        <v>934</v>
      </c>
      <c r="B36" s="11"/>
      <c r="C36" s="11"/>
      <c r="D36" s="11"/>
      <c r="E36" s="11"/>
      <c r="F36" s="11"/>
      <c r="G36" s="11"/>
      <c r="H36" s="11"/>
      <c r="I36" s="11"/>
      <c r="J36" s="11"/>
      <c r="K36" s="11"/>
      <c r="L36" s="11"/>
    </row>
    <row r="38" customFormat="false" ht="15" hidden="false" customHeight="false" outlineLevel="0" collapsed="false">
      <c r="A38" s="4" t="s">
        <v>935</v>
      </c>
    </row>
    <row r="39" customFormat="false" ht="33.75" hidden="false" customHeight="true" outlineLevel="0" collapsed="false">
      <c r="A39" s="5" t="s">
        <v>889</v>
      </c>
      <c r="B39" s="5" t="s">
        <v>932</v>
      </c>
      <c r="C39" s="5" t="s">
        <v>933</v>
      </c>
      <c r="D39" s="5" t="s">
        <v>759</v>
      </c>
      <c r="E39" s="5" t="s">
        <v>767</v>
      </c>
      <c r="F39" s="5" t="s">
        <v>775</v>
      </c>
      <c r="G39" s="5" t="s">
        <v>783</v>
      </c>
      <c r="H39" s="5" t="s">
        <v>791</v>
      </c>
      <c r="I39" s="5" t="s">
        <v>799</v>
      </c>
      <c r="J39" s="5" t="s">
        <v>806</v>
      </c>
      <c r="K39" s="5" t="s">
        <v>814</v>
      </c>
      <c r="L39" s="5" t="s">
        <v>822</v>
      </c>
    </row>
    <row r="40" customFormat="false" ht="15" hidden="false" customHeight="false" outlineLevel="0" collapsed="false">
      <c r="A40" s="21" t="str">
        <f aca="false">Lists!E2</f>
        <v>Peer-reviewed</v>
      </c>
      <c r="B40" s="21" t="n">
        <f aca="false">COUNTIFS(Scoring!$F$6:$F$105,$A40,Scoring!$AK$6:$AK$105,"&gt;=0")</f>
        <v>0</v>
      </c>
      <c r="C40" s="22" t="str">
        <f aca="false">IFERROR(AVERAGEIFS(Scoring!$AK$6:$AK$105,Scoring!$F$6:$F$105,$A40),"")</f>
        <v/>
      </c>
      <c r="D40" s="22" t="str">
        <f aca="false">IFERROR(AVERAGEIFS(Scoring!$AB$6:$AB$105,Scoring!$F$6:$F$105,$A40),"")</f>
        <v/>
      </c>
      <c r="E40" s="22" t="str">
        <f aca="false">IFERROR(AVERAGEIFS(Scoring!$AC$6:$AC$105,Scoring!$F$6:$F$105,$A40),"")</f>
        <v/>
      </c>
      <c r="F40" s="22" t="str">
        <f aca="false">IFERROR(AVERAGEIFS(Scoring!$AD$6:$AD$105,Scoring!$F$6:$F$105,$A40),"")</f>
        <v/>
      </c>
      <c r="G40" s="22" t="str">
        <f aca="false">IFERROR(AVERAGEIFS(Scoring!$AE$6:$AE$105,Scoring!$F$6:$F$105,$A40),"")</f>
        <v/>
      </c>
      <c r="H40" s="22" t="str">
        <f aca="false">IFERROR(AVERAGEIFS(Scoring!$AF$6:$AF$105,Scoring!$F$6:$F$105,$A40),"")</f>
        <v/>
      </c>
      <c r="I40" s="22" t="str">
        <f aca="false">IFERROR(AVERAGEIFS(Scoring!$AG$6:$AG$105,Scoring!$F$6:$F$105,$A40),"")</f>
        <v/>
      </c>
      <c r="J40" s="22" t="str">
        <f aca="false">IFERROR(AVERAGEIFS(Scoring!$AH$6:$AH$105,Scoring!$F$6:$F$105,$A40),"")</f>
        <v/>
      </c>
      <c r="K40" s="22" t="str">
        <f aca="false">IFERROR(AVERAGEIFS(Scoring!$AI$6:$AI$105,Scoring!$F$6:$F$105,$A40),"")</f>
        <v/>
      </c>
      <c r="L40" s="22" t="str">
        <f aca="false">IFERROR(AVERAGEIFS(Scoring!$AJ$6:$AJ$105,Scoring!$F$6:$F$105,$A40),"")</f>
        <v/>
      </c>
    </row>
    <row r="41" customFormat="false" ht="15" hidden="false" customHeight="false" outlineLevel="0" collapsed="false">
      <c r="A41" s="21" t="str">
        <f aca="false">Lists!E3</f>
        <v>Preprint</v>
      </c>
      <c r="B41" s="21" t="n">
        <f aca="false">COUNTIFS(Scoring!$F$6:$F$105,$A41,Scoring!$AK$6:$AK$105,"&gt;=0")</f>
        <v>0</v>
      </c>
      <c r="C41" s="22" t="str">
        <f aca="false">IFERROR(AVERAGEIFS(Scoring!$AK$6:$AK$105,Scoring!$F$6:$F$105,$A41),"")</f>
        <v/>
      </c>
      <c r="D41" s="22" t="str">
        <f aca="false">IFERROR(AVERAGEIFS(Scoring!$AB$6:$AB$105,Scoring!$F$6:$F$105,$A41),"")</f>
        <v/>
      </c>
      <c r="E41" s="22" t="str">
        <f aca="false">IFERROR(AVERAGEIFS(Scoring!$AC$6:$AC$105,Scoring!$F$6:$F$105,$A41),"")</f>
        <v/>
      </c>
      <c r="F41" s="22" t="str">
        <f aca="false">IFERROR(AVERAGEIFS(Scoring!$AD$6:$AD$105,Scoring!$F$6:$F$105,$A41),"")</f>
        <v/>
      </c>
      <c r="G41" s="22" t="str">
        <f aca="false">IFERROR(AVERAGEIFS(Scoring!$AE$6:$AE$105,Scoring!$F$6:$F$105,$A41),"")</f>
        <v/>
      </c>
      <c r="H41" s="22" t="str">
        <f aca="false">IFERROR(AVERAGEIFS(Scoring!$AF$6:$AF$105,Scoring!$F$6:$F$105,$A41),"")</f>
        <v/>
      </c>
      <c r="I41" s="22" t="str">
        <f aca="false">IFERROR(AVERAGEIFS(Scoring!$AG$6:$AG$105,Scoring!$F$6:$F$105,$A41),"")</f>
        <v/>
      </c>
      <c r="J41" s="22" t="str">
        <f aca="false">IFERROR(AVERAGEIFS(Scoring!$AH$6:$AH$105,Scoring!$F$6:$F$105,$A41),"")</f>
        <v/>
      </c>
      <c r="K41" s="22" t="str">
        <f aca="false">IFERROR(AVERAGEIFS(Scoring!$AI$6:$AI$105,Scoring!$F$6:$F$105,$A41),"")</f>
        <v/>
      </c>
      <c r="L41" s="22" t="str">
        <f aca="false">IFERROR(AVERAGEIFS(Scoring!$AJ$6:$AJ$105,Scoring!$F$6:$F$105,$A41),"")</f>
        <v/>
      </c>
    </row>
    <row r="42" customFormat="false" ht="15" hidden="false" customHeight="false" outlineLevel="0" collapsed="false">
      <c r="A42" s="21" t="str">
        <f aca="false">Lists!E4</f>
        <v>Company/market page</v>
      </c>
      <c r="B42" s="21" t="n">
        <f aca="false">COUNTIFS(Scoring!$F$6:$F$105,$A42,Scoring!$AK$6:$AK$105,"&gt;=0")</f>
        <v>0</v>
      </c>
      <c r="C42" s="22" t="str">
        <f aca="false">IFERROR(AVERAGEIFS(Scoring!$AK$6:$AK$105,Scoring!$F$6:$F$105,$A42),"")</f>
        <v/>
      </c>
      <c r="D42" s="22" t="str">
        <f aca="false">IFERROR(AVERAGEIFS(Scoring!$AB$6:$AB$105,Scoring!$F$6:$F$105,$A42),"")</f>
        <v/>
      </c>
      <c r="E42" s="22" t="str">
        <f aca="false">IFERROR(AVERAGEIFS(Scoring!$AC$6:$AC$105,Scoring!$F$6:$F$105,$A42),"")</f>
        <v/>
      </c>
      <c r="F42" s="22" t="str">
        <f aca="false">IFERROR(AVERAGEIFS(Scoring!$AD$6:$AD$105,Scoring!$F$6:$F$105,$A42),"")</f>
        <v/>
      </c>
      <c r="G42" s="22" t="str">
        <f aca="false">IFERROR(AVERAGEIFS(Scoring!$AE$6:$AE$105,Scoring!$F$6:$F$105,$A42),"")</f>
        <v/>
      </c>
      <c r="H42" s="22" t="str">
        <f aca="false">IFERROR(AVERAGEIFS(Scoring!$AF$6:$AF$105,Scoring!$F$6:$F$105,$A42),"")</f>
        <v/>
      </c>
      <c r="I42" s="22" t="str">
        <f aca="false">IFERROR(AVERAGEIFS(Scoring!$AG$6:$AG$105,Scoring!$F$6:$F$105,$A42),"")</f>
        <v/>
      </c>
      <c r="J42" s="22" t="str">
        <f aca="false">IFERROR(AVERAGEIFS(Scoring!$AH$6:$AH$105,Scoring!$F$6:$F$105,$A42),"")</f>
        <v/>
      </c>
      <c r="K42" s="22" t="str">
        <f aca="false">IFERROR(AVERAGEIFS(Scoring!$AI$6:$AI$105,Scoring!$F$6:$F$105,$A42),"")</f>
        <v/>
      </c>
      <c r="L42" s="22" t="str">
        <f aca="false">IFERROR(AVERAGEIFS(Scoring!$AJ$6:$AJ$105,Scoring!$F$6:$F$105,$A42),"")</f>
        <v/>
      </c>
    </row>
    <row r="44" customFormat="false" ht="15" hidden="false" customHeight="false" outlineLevel="0" collapsed="false">
      <c r="A44" s="4" t="s">
        <v>936</v>
      </c>
    </row>
    <row r="45" customFormat="false" ht="43.5" hidden="false" customHeight="true" outlineLevel="0" collapsed="false">
      <c r="A45" s="5" t="s">
        <v>609</v>
      </c>
      <c r="B45" s="5" t="s">
        <v>937</v>
      </c>
      <c r="C45" s="5" t="s">
        <v>653</v>
      </c>
      <c r="D45" s="5" t="s">
        <v>621</v>
      </c>
      <c r="E45" s="5" t="s">
        <v>658</v>
      </c>
      <c r="F45" s="5" t="s">
        <v>667</v>
      </c>
      <c r="G45" s="5" t="s">
        <v>673</v>
      </c>
      <c r="H45" s="5" t="s">
        <v>630</v>
      </c>
      <c r="I45" s="5" t="s">
        <v>938</v>
      </c>
    </row>
    <row r="46" customFormat="false" ht="15" hidden="false" customHeight="false" outlineLevel="0" collapsed="false">
      <c r="A46" s="21" t="str">
        <f aca="false">Lists!C2</f>
        <v>Computational performance</v>
      </c>
      <c r="B46" s="21" t="n">
        <f aca="false">COUNTIF(Claims!$D$5:$D$204,$A46)</f>
        <v>3</v>
      </c>
      <c r="C46" s="21" t="n">
        <f aca="false">COUNTIFS(Claims!$D$5:$D$204,$A46,Claims!$F$5:$F$204,Lists!$B$2)</f>
        <v>0</v>
      </c>
      <c r="D46" s="21" t="n">
        <f aca="false">COUNTIFS(Claims!$D$5:$D$204,$A46,Claims!$F$5:$F$204,Lists!$B$3)</f>
        <v>1</v>
      </c>
      <c r="E46" s="21" t="n">
        <f aca="false">COUNTIFS(Claims!$D$5:$D$204,$A46,Claims!$F$5:$F$204,Lists!$B$4)</f>
        <v>0</v>
      </c>
      <c r="F46" s="21" t="n">
        <f aca="false">COUNTIFS(Claims!$D$5:$D$204,$A46,Claims!$F$5:$F$204,Lists!$B$5)</f>
        <v>0</v>
      </c>
      <c r="G46" s="21" t="n">
        <f aca="false">COUNTIFS(Claims!$D$5:$D$204,$A46,Claims!$F$5:$F$204,Lists!$B$6)</f>
        <v>1</v>
      </c>
      <c r="H46" s="21" t="n">
        <f aca="false">COUNTIFS(Claims!$D$5:$D$204,$A46,Claims!$F$5:$F$204,Lists!$B$7)</f>
        <v>1</v>
      </c>
      <c r="I46" s="25" t="n">
        <f aca="false">IF(B46=0,"",(E46+F46+G46+H46)/B46)</f>
        <v>0.666666666666667</v>
      </c>
    </row>
    <row r="47" customFormat="false" ht="15" hidden="false" customHeight="false" outlineLevel="0" collapsed="false">
      <c r="A47" s="21" t="str">
        <f aca="false">Lists!C3</f>
        <v>Learning/adaptation</v>
      </c>
      <c r="B47" s="21" t="n">
        <f aca="false">COUNTIF(Claims!$D$5:$D$204,$A47)</f>
        <v>2</v>
      </c>
      <c r="C47" s="21" t="n">
        <f aca="false">COUNTIFS(Claims!$D$5:$D$204,$A47,Claims!$F$5:$F$204,Lists!$B$2)</f>
        <v>1</v>
      </c>
      <c r="D47" s="21" t="n">
        <f aca="false">COUNTIFS(Claims!$D$5:$D$204,$A47,Claims!$F$5:$F$204,Lists!$B$3)</f>
        <v>1</v>
      </c>
      <c r="E47" s="21" t="n">
        <f aca="false">COUNTIFS(Claims!$D$5:$D$204,$A47,Claims!$F$5:$F$204,Lists!$B$4)</f>
        <v>0</v>
      </c>
      <c r="F47" s="21" t="n">
        <f aca="false">COUNTIFS(Claims!$D$5:$D$204,$A47,Claims!$F$5:$F$204,Lists!$B$5)</f>
        <v>0</v>
      </c>
      <c r="G47" s="21" t="n">
        <f aca="false">COUNTIFS(Claims!$D$5:$D$204,$A47,Claims!$F$5:$F$204,Lists!$B$6)</f>
        <v>0</v>
      </c>
      <c r="H47" s="21" t="n">
        <f aca="false">COUNTIFS(Claims!$D$5:$D$204,$A47,Claims!$F$5:$F$204,Lists!$B$7)</f>
        <v>0</v>
      </c>
      <c r="I47" s="25" t="n">
        <f aca="false">IF(B47=0,"",(E47+F47+G47+H47)/B47)</f>
        <v>0</v>
      </c>
    </row>
    <row r="48" customFormat="false" ht="15" hidden="false" customHeight="false" outlineLevel="0" collapsed="false">
      <c r="A48" s="21" t="str">
        <f aca="false">Lists!C4</f>
        <v>Efficiency (energy/sample/cost)</v>
      </c>
      <c r="B48" s="21" t="n">
        <f aca="false">COUNTIF(Claims!$D$5:$D$204,$A48)</f>
        <v>4</v>
      </c>
      <c r="C48" s="21" t="n">
        <f aca="false">COUNTIFS(Claims!$D$5:$D$204,$A48,Claims!$F$5:$F$204,Lists!$B$2)</f>
        <v>0</v>
      </c>
      <c r="D48" s="21" t="n">
        <f aca="false">COUNTIFS(Claims!$D$5:$D$204,$A48,Claims!$F$5:$F$204,Lists!$B$3)</f>
        <v>1</v>
      </c>
      <c r="E48" s="21" t="n">
        <f aca="false">COUNTIFS(Claims!$D$5:$D$204,$A48,Claims!$F$5:$F$204,Lists!$B$4)</f>
        <v>1</v>
      </c>
      <c r="F48" s="21" t="n">
        <f aca="false">COUNTIFS(Claims!$D$5:$D$204,$A48,Claims!$F$5:$F$204,Lists!$B$5)</f>
        <v>1</v>
      </c>
      <c r="G48" s="21" t="n">
        <f aca="false">COUNTIFS(Claims!$D$5:$D$204,$A48,Claims!$F$5:$F$204,Lists!$B$6)</f>
        <v>0</v>
      </c>
      <c r="H48" s="21" t="n">
        <f aca="false">COUNTIFS(Claims!$D$5:$D$204,$A48,Claims!$F$5:$F$204,Lists!$B$7)</f>
        <v>1</v>
      </c>
      <c r="I48" s="25" t="n">
        <f aca="false">IF(B48=0,"",(E48+F48+G48+H48)/B48)</f>
        <v>0.75</v>
      </c>
    </row>
    <row r="49" customFormat="false" ht="15" hidden="false" customHeight="false" outlineLevel="0" collapsed="false">
      <c r="A49" s="21" t="str">
        <f aca="false">Lists!C5</f>
        <v>Sentience/intelligence</v>
      </c>
      <c r="B49" s="21" t="n">
        <f aca="false">COUNTIF(Claims!$D$5:$D$204,$A49)</f>
        <v>1</v>
      </c>
      <c r="C49" s="21" t="n">
        <f aca="false">COUNTIFS(Claims!$D$5:$D$204,$A49,Claims!$F$5:$F$204,Lists!$B$2)</f>
        <v>0</v>
      </c>
      <c r="D49" s="21" t="n">
        <f aca="false">COUNTIFS(Claims!$D$5:$D$204,$A49,Claims!$F$5:$F$204,Lists!$B$3)</f>
        <v>0</v>
      </c>
      <c r="E49" s="21" t="n">
        <f aca="false">COUNTIFS(Claims!$D$5:$D$204,$A49,Claims!$F$5:$F$204,Lists!$B$4)</f>
        <v>0</v>
      </c>
      <c r="F49" s="21" t="n">
        <f aca="false">COUNTIFS(Claims!$D$5:$D$204,$A49,Claims!$F$5:$F$204,Lists!$B$5)</f>
        <v>0</v>
      </c>
      <c r="G49" s="21" t="n">
        <f aca="false">COUNTIFS(Claims!$D$5:$D$204,$A49,Claims!$F$5:$F$204,Lists!$B$6)</f>
        <v>0</v>
      </c>
      <c r="H49" s="21" t="n">
        <f aca="false">COUNTIFS(Claims!$D$5:$D$204,$A49,Claims!$F$5:$F$204,Lists!$B$7)</f>
        <v>1</v>
      </c>
      <c r="I49" s="25" t="n">
        <f aca="false">IF(B49=0,"",(E49+F49+G49+H49)/B49)</f>
        <v>1</v>
      </c>
    </row>
    <row r="50" customFormat="false" ht="15" hidden="false" customHeight="false" outlineLevel="0" collapsed="false">
      <c r="A50" s="21" t="str">
        <f aca="false">Lists!C6</f>
        <v>Other</v>
      </c>
      <c r="B50" s="21" t="n">
        <f aca="false">COUNTIF(Claims!$D$5:$D$204,$A50)</f>
        <v>1</v>
      </c>
      <c r="C50" s="21" t="n">
        <f aca="false">COUNTIFS(Claims!$D$5:$D$204,$A50,Claims!$F$5:$F$204,Lists!$B$2)</f>
        <v>1</v>
      </c>
      <c r="D50" s="21" t="n">
        <f aca="false">COUNTIFS(Claims!$D$5:$D$204,$A50,Claims!$F$5:$F$204,Lists!$B$3)</f>
        <v>0</v>
      </c>
      <c r="E50" s="21" t="n">
        <f aca="false">COUNTIFS(Claims!$D$5:$D$204,$A50,Claims!$F$5:$F$204,Lists!$B$4)</f>
        <v>0</v>
      </c>
      <c r="F50" s="21" t="n">
        <f aca="false">COUNTIFS(Claims!$D$5:$D$204,$A50,Claims!$F$5:$F$204,Lists!$B$5)</f>
        <v>0</v>
      </c>
      <c r="G50" s="21" t="n">
        <f aca="false">COUNTIFS(Claims!$D$5:$D$204,$A50,Claims!$F$5:$F$204,Lists!$B$6)</f>
        <v>0</v>
      </c>
      <c r="H50" s="21" t="n">
        <f aca="false">COUNTIFS(Claims!$D$5:$D$204,$A50,Claims!$F$5:$F$204,Lists!$B$7)</f>
        <v>0</v>
      </c>
      <c r="I50" s="25" t="n">
        <f aca="false">IF(B50=0,"",(E50+F50+G50+H50)/B50)</f>
        <v>0</v>
      </c>
    </row>
    <row r="51" customFormat="false" ht="15" hidden="false" customHeight="false" outlineLevel="0" collapsed="false">
      <c r="A51" s="23" t="s">
        <v>939</v>
      </c>
      <c r="B51" s="23" t="n">
        <f aca="false">SUM(B46:B50)</f>
        <v>11</v>
      </c>
      <c r="C51" s="23" t="n">
        <f aca="false">SUM(C46:C50)</f>
        <v>2</v>
      </c>
      <c r="D51" s="23" t="n">
        <f aca="false">SUM(D46:D50)</f>
        <v>3</v>
      </c>
      <c r="E51" s="23" t="n">
        <f aca="false">SUM(E46:E50)</f>
        <v>1</v>
      </c>
      <c r="F51" s="23" t="n">
        <f aca="false">SUM(F46:F50)</f>
        <v>1</v>
      </c>
      <c r="G51" s="23" t="n">
        <f aca="false">SUM(G46:G50)</f>
        <v>1</v>
      </c>
      <c r="H51" s="23" t="n">
        <f aca="false">SUM(H46:H50)</f>
        <v>3</v>
      </c>
      <c r="I51" s="26" t="n">
        <f aca="false">IF(B51=0,"",(E51+F51+G51+H51)/B51)</f>
        <v>0.545454545454545</v>
      </c>
    </row>
    <row r="52" customFormat="false" ht="31.5" hidden="false" customHeight="true" outlineLevel="0" collapsed="false">
      <c r="A52" s="11" t="s">
        <v>940</v>
      </c>
      <c r="B52" s="11"/>
      <c r="C52" s="11"/>
      <c r="D52" s="11"/>
      <c r="E52" s="11"/>
      <c r="F52" s="11"/>
      <c r="G52" s="11"/>
      <c r="H52" s="11"/>
      <c r="I52" s="11"/>
      <c r="J52" s="11"/>
      <c r="K52" s="11"/>
    </row>
  </sheetData>
  <mergeCells count="3">
    <mergeCell ref="A27:N27"/>
    <mergeCell ref="A36:L36"/>
    <mergeCell ref="A52:K5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10"/>
    <col collapsed="false" customWidth="true" hidden="false" outlineLevel="0" max="3" min="3" style="0" width="16"/>
  </cols>
  <sheetData>
    <row r="1" customFormat="false" ht="31.5" hidden="false" customHeight="true" outlineLevel="0" collapsed="false">
      <c r="A1" s="5" t="s">
        <v>63</v>
      </c>
      <c r="B1" s="5" t="s">
        <v>941</v>
      </c>
      <c r="C1" s="5" t="s">
        <v>942</v>
      </c>
    </row>
    <row r="2" customFormat="false" ht="15" hidden="false" customHeight="false" outlineLevel="0" collapsed="false">
      <c r="A2" s="3" t="s">
        <v>73</v>
      </c>
      <c r="B2" s="3" t="s">
        <v>943</v>
      </c>
      <c r="C2" s="3" t="s">
        <v>72</v>
      </c>
    </row>
    <row r="3" customFormat="false" ht="15" hidden="false" customHeight="false" outlineLevel="0" collapsed="false">
      <c r="A3" s="3" t="s">
        <v>90</v>
      </c>
      <c r="B3" s="3" t="s">
        <v>944</v>
      </c>
      <c r="C3" s="3" t="s">
        <v>72</v>
      </c>
    </row>
    <row r="4" customFormat="false" ht="15" hidden="false" customHeight="false" outlineLevel="0" collapsed="false">
      <c r="A4" s="3" t="s">
        <v>534</v>
      </c>
      <c r="B4" s="3" t="s">
        <v>945</v>
      </c>
      <c r="C4" s="3" t="s">
        <v>72</v>
      </c>
    </row>
    <row r="5" customFormat="false" ht="15" hidden="false" customHeight="false" outlineLevel="0" collapsed="false">
      <c r="A5" s="3" t="s">
        <v>110</v>
      </c>
      <c r="B5" s="3" t="s">
        <v>946</v>
      </c>
      <c r="C5" s="3" t="s">
        <v>109</v>
      </c>
    </row>
    <row r="6" customFormat="false" ht="15" hidden="false" customHeight="false" outlineLevel="0" collapsed="false">
      <c r="A6" s="3" t="s">
        <v>503</v>
      </c>
      <c r="B6" s="3" t="s">
        <v>947</v>
      </c>
      <c r="C6" s="3" t="s">
        <v>123</v>
      </c>
    </row>
    <row r="7" customFormat="false" ht="15" hidden="false" customHeight="false" outlineLevel="0" collapsed="false">
      <c r="A7" s="3" t="s">
        <v>136</v>
      </c>
      <c r="B7" s="3" t="s">
        <v>948</v>
      </c>
      <c r="C7" s="3" t="s">
        <v>123</v>
      </c>
    </row>
    <row r="8" customFormat="false" ht="15" hidden="false" customHeight="false" outlineLevel="0" collapsed="false">
      <c r="A8" s="3" t="s">
        <v>124</v>
      </c>
      <c r="B8" s="3" t="s">
        <v>949</v>
      </c>
      <c r="C8" s="3" t="s">
        <v>123</v>
      </c>
    </row>
    <row r="9" customFormat="false" ht="15" hidden="false" customHeight="false" outlineLevel="0" collapsed="false">
      <c r="A9" s="3" t="s">
        <v>350</v>
      </c>
      <c r="B9" s="3" t="s">
        <v>950</v>
      </c>
      <c r="C9" s="3" t="s">
        <v>123</v>
      </c>
    </row>
    <row r="10" customFormat="false" ht="15" hidden="false" customHeight="false" outlineLevel="0" collapsed="false">
      <c r="A10" s="3" t="s">
        <v>145</v>
      </c>
      <c r="B10" s="3" t="s">
        <v>951</v>
      </c>
      <c r="C10" s="3" t="s">
        <v>102</v>
      </c>
    </row>
    <row r="11" customFormat="false" ht="15" hidden="false" customHeight="false" outlineLevel="0" collapsed="false">
      <c r="A11" s="3" t="s">
        <v>130</v>
      </c>
      <c r="B11" s="3" t="s">
        <v>952</v>
      </c>
      <c r="C11" s="3" t="s">
        <v>102</v>
      </c>
    </row>
    <row r="12" customFormat="false" ht="15" hidden="false" customHeight="false" outlineLevel="0" collapsed="false">
      <c r="A12" s="3" t="s">
        <v>103</v>
      </c>
      <c r="B12" s="3" t="s">
        <v>953</v>
      </c>
      <c r="C12" s="3" t="s">
        <v>102</v>
      </c>
    </row>
    <row r="13" customFormat="false" ht="15" hidden="false" customHeight="false" outlineLevel="0" collapsed="false">
      <c r="A13" s="3" t="s">
        <v>549</v>
      </c>
      <c r="B13" s="3" t="s">
        <v>954</v>
      </c>
      <c r="C13" s="3" t="s">
        <v>102</v>
      </c>
    </row>
    <row r="14" customFormat="false" ht="15" hidden="false" customHeight="false" outlineLevel="0" collapsed="false">
      <c r="A14" s="3" t="s">
        <v>141</v>
      </c>
      <c r="B14" s="3" t="s">
        <v>955</v>
      </c>
      <c r="C14" s="3" t="s">
        <v>102</v>
      </c>
    </row>
    <row r="15" customFormat="false" ht="15" hidden="false" customHeight="false" outlineLevel="0" collapsed="false">
      <c r="A15" s="3" t="s">
        <v>370</v>
      </c>
      <c r="B15" s="3" t="s">
        <v>956</v>
      </c>
      <c r="C15" s="3" t="s">
        <v>102</v>
      </c>
    </row>
    <row r="16" customFormat="false" ht="15" hidden="false" customHeight="false" outlineLevel="0" collapsed="false">
      <c r="A16" s="3" t="s">
        <v>957</v>
      </c>
      <c r="B16" s="3" t="s">
        <v>958</v>
      </c>
      <c r="C16" s="3" t="s">
        <v>102</v>
      </c>
    </row>
    <row r="17" customFormat="false" ht="15" hidden="false" customHeight="false" outlineLevel="0" collapsed="false">
      <c r="A17" s="3" t="s">
        <v>173</v>
      </c>
      <c r="B17" s="3" t="s">
        <v>959</v>
      </c>
      <c r="C17" s="3" t="s">
        <v>102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3" min="2" style="0" width="32"/>
    <col collapsed="false" customWidth="true" hidden="false" outlineLevel="0" max="4" min="4" style="0" width="34"/>
    <col collapsed="false" customWidth="true" hidden="false" outlineLevel="0" max="5" min="5" style="0" width="22"/>
    <col collapsed="false" customWidth="true" hidden="false" outlineLevel="0" max="6" min="6" style="0" width="12"/>
    <col collapsed="false" customWidth="true" hidden="false" outlineLevel="0" max="7" min="7" style="0" width="24"/>
    <col collapsed="false" customWidth="true" hidden="false" outlineLevel="0" max="8" min="8" style="0" width="12"/>
  </cols>
  <sheetData>
    <row r="1" customFormat="false" ht="15" hidden="false" customHeight="false" outlineLevel="0" collapsed="false">
      <c r="A1" s="27" t="s">
        <v>960</v>
      </c>
      <c r="B1" s="27" t="s">
        <v>611</v>
      </c>
      <c r="C1" s="27" t="s">
        <v>961</v>
      </c>
      <c r="D1" s="27" t="s">
        <v>26</v>
      </c>
      <c r="E1" s="27" t="s">
        <v>737</v>
      </c>
      <c r="F1" s="27" t="s">
        <v>962</v>
      </c>
      <c r="G1" s="27" t="s">
        <v>612</v>
      </c>
      <c r="H1" s="27" t="s">
        <v>62</v>
      </c>
    </row>
    <row r="2" customFormat="false" ht="15" hidden="false" customHeight="false" outlineLevel="0" collapsed="false">
      <c r="A2" s="28" t="s">
        <v>756</v>
      </c>
      <c r="B2" s="28" t="s">
        <v>653</v>
      </c>
      <c r="C2" s="28" t="s">
        <v>634</v>
      </c>
      <c r="D2" s="28" t="s">
        <v>729</v>
      </c>
      <c r="E2" s="28" t="s">
        <v>724</v>
      </c>
      <c r="F2" s="28" t="s">
        <v>963</v>
      </c>
      <c r="G2" s="28" t="s">
        <v>622</v>
      </c>
      <c r="H2" s="28" t="s">
        <v>72</v>
      </c>
    </row>
    <row r="3" customFormat="false" ht="15" hidden="false" customHeight="false" outlineLevel="0" collapsed="false">
      <c r="A3" s="28" t="s">
        <v>755</v>
      </c>
      <c r="B3" s="28" t="s">
        <v>621</v>
      </c>
      <c r="C3" s="28" t="s">
        <v>619</v>
      </c>
      <c r="D3" s="28" t="s">
        <v>725</v>
      </c>
      <c r="E3" s="28" t="s">
        <v>118</v>
      </c>
      <c r="F3" s="28" t="s">
        <v>964</v>
      </c>
      <c r="G3" s="28" t="s">
        <v>965</v>
      </c>
      <c r="H3" s="28" t="s">
        <v>109</v>
      </c>
    </row>
    <row r="4" customFormat="false" ht="15" hidden="false" customHeight="false" outlineLevel="0" collapsed="false">
      <c r="A4" s="28" t="s">
        <v>754</v>
      </c>
      <c r="B4" s="28" t="s">
        <v>658</v>
      </c>
      <c r="C4" s="28" t="s">
        <v>640</v>
      </c>
      <c r="D4" s="28" t="s">
        <v>748</v>
      </c>
      <c r="E4" s="28" t="s">
        <v>749</v>
      </c>
      <c r="F4" s="28" t="s">
        <v>726</v>
      </c>
      <c r="G4" s="28" t="s">
        <v>658</v>
      </c>
      <c r="H4" s="28" t="s">
        <v>123</v>
      </c>
    </row>
    <row r="5" customFormat="false" ht="15" hidden="false" customHeight="false" outlineLevel="0" collapsed="false">
      <c r="A5" s="28" t="s">
        <v>911</v>
      </c>
      <c r="B5" s="28" t="s">
        <v>667</v>
      </c>
      <c r="C5" s="28" t="s">
        <v>628</v>
      </c>
      <c r="D5" s="28" t="s">
        <v>27</v>
      </c>
      <c r="G5" s="28" t="s">
        <v>668</v>
      </c>
      <c r="H5" s="28" t="s">
        <v>102</v>
      </c>
    </row>
    <row r="6" customFormat="false" ht="15" hidden="false" customHeight="false" outlineLevel="0" collapsed="false">
      <c r="B6" s="28" t="s">
        <v>673</v>
      </c>
      <c r="C6" s="28" t="s">
        <v>193</v>
      </c>
      <c r="D6" s="28" t="s">
        <v>731</v>
      </c>
      <c r="G6" s="28" t="s">
        <v>642</v>
      </c>
    </row>
    <row r="7" customFormat="false" ht="15" hidden="false" customHeight="false" outlineLevel="0" collapsed="false">
      <c r="B7" s="28" t="s">
        <v>630</v>
      </c>
    </row>
    <row r="8" customFormat="false" ht="15" hidden="false" customHeight="false" outlineLevel="0" collapsed="false">
      <c r="A8" s="7" t="s">
        <v>966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2026-10-23T03:25:51Z</dcterms:created>
  <dc:creator>openpyxl</dc:creator>
  <dc:description/>
  <dc:language>en-US</dc:language>
  <cp:lastModifiedBy/>
  <dcterms:modified xsi:type="dcterms:W3CDTF">2026-10-23T03:25:51Z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